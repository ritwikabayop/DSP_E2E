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Dashboard" sheetId="1" state="visible" r:id="rId1"/>
    <sheet name="DSP_Manual" sheetId="2" state="visible" r:id="rId2"/>
    <sheet name="DSP_Auto" sheetId="3" state="visible" r:id="rId3"/>
    <sheet name="SSA_GenAI" sheetId="4" state="visible" r:id="rId4"/>
    <sheet name="Team_Data" sheetId="5" state="visible" r:id="rId5"/>
    <sheet name="How_To_Use" sheetId="6" state="visible" r:id="rId6"/>
  </sheets>
  <definedNames>
    <definedName name="_xlnm._FilterDatabase" localSheetId="1" hidden="1">'DSP_Manual'!$A$4:$K$8</definedName>
    <definedName name="_xlnm._FilterDatabase" localSheetId="2" hidden="1">'DSP_Auto'!$A$4:$K$8</definedName>
    <definedName name="_xlnm._FilterDatabase" localSheetId="3" hidden="1">'SSA_GenAI'!$A$3:$K$31</definedName>
    <definedName name="_xlnm._FilterDatabase" localSheetId="4" hidden="1">'Team_Data'!$A$3:$E$26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6">
    <font>
      <name val="Calibri"/>
      <family val="2"/>
      <color theme="1"/>
      <sz val="11"/>
      <scheme val="minor"/>
    </font>
    <font>
      <name val="Segoe UI"/>
      <b val="1"/>
      <color rgb="0022C55E"/>
      <sz val="15"/>
    </font>
    <font>
      <name val="Segoe UI"/>
      <i val="1"/>
      <color rgb="008892A4"/>
      <sz val="10"/>
    </font>
    <font>
      <name val="Segoe UI"/>
      <b val="1"/>
      <color rgb="00FFFFFF"/>
      <sz val="10"/>
    </font>
    <font>
      <name val="Segoe UI"/>
      <i val="1"/>
      <color rgb="007D5A00"/>
      <sz val="9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276221"/>
      <sz val="10"/>
    </font>
    <font>
      <name val="Segoe UI"/>
      <b val="1"/>
      <color rgb="00FFFFFF"/>
      <sz val="11"/>
    </font>
    <font>
      <name val="Segoe UI"/>
      <b val="1"/>
      <color rgb="007D5A00"/>
      <sz val="10"/>
    </font>
    <font>
      <name val="Segoe UI"/>
      <b val="1"/>
      <color rgb="00820014"/>
      <sz val="10"/>
    </font>
    <font>
      <name val="Segoe UI"/>
      <b val="1"/>
      <color rgb="009E006B"/>
      <sz val="10"/>
    </font>
    <font>
      <name val="Segoe UI"/>
      <b val="1"/>
      <color rgb="00595959"/>
      <sz val="10"/>
    </font>
    <font>
      <name val="Segoe UI"/>
      <b val="1"/>
      <color rgb="0022C55E"/>
      <sz val="14"/>
    </font>
    <font>
      <name val="Segoe UI"/>
      <b val="1"/>
      <color rgb="00000000"/>
      <sz val="11"/>
    </font>
    <font>
      <name val="Segoe UI"/>
      <b val="1"/>
      <color rgb="0022C55E"/>
      <sz val="16"/>
    </font>
  </fonts>
  <fills count="26">
    <fill>
      <patternFill/>
    </fill>
    <fill>
      <patternFill patternType="gray125"/>
    </fill>
    <fill>
      <patternFill patternType="solid">
        <fgColor rgb="000D0F18"/>
      </patternFill>
    </fill>
    <fill>
      <patternFill patternType="solid">
        <fgColor rgb="001A1F2E"/>
      </patternFill>
    </fill>
    <fill>
      <patternFill patternType="solid">
        <fgColor rgb="001A2A3A"/>
      </patternFill>
    </fill>
    <fill>
      <patternFill patternType="solid">
        <fgColor rgb="00FFFBE6"/>
      </patternFill>
    </fill>
    <fill>
      <patternFill patternType="solid">
        <fgColor rgb="00F5F5F5"/>
      </patternFill>
    </fill>
    <fill>
      <patternFill patternType="solid">
        <fgColor rgb="00D9F7BE"/>
      </patternFill>
    </fill>
    <fill>
      <patternFill patternType="solid">
        <fgColor rgb="00B7EB8F"/>
      </patternFill>
    </fill>
    <fill>
      <patternFill patternType="solid">
        <fgColor rgb="00FFE58F"/>
      </patternFill>
    </fill>
    <fill>
      <patternFill patternType="solid">
        <fgColor rgb="00FFCCC7"/>
      </patternFill>
    </fill>
    <fill>
      <patternFill patternType="solid">
        <fgColor rgb="00F0F0F0"/>
      </patternFill>
    </fill>
    <fill>
      <patternFill patternType="solid">
        <fgColor rgb="00E9F5E9"/>
      </patternFill>
    </fill>
    <fill>
      <patternFill patternType="solid">
        <fgColor rgb="00FFFFFF"/>
      </patternFill>
    </fill>
    <fill>
      <patternFill patternType="solid">
        <fgColor rgb="00FFA39E"/>
      </patternFill>
    </fill>
    <fill>
      <patternFill patternType="solid">
        <fgColor rgb="00FFD6E7"/>
      </patternFill>
    </fill>
    <fill>
      <patternFill patternType="solid">
        <fgColor rgb="00C5E8FF"/>
      </patternFill>
    </fill>
    <fill>
      <patternFill patternType="solid">
        <fgColor rgb="001A3A5C"/>
      </patternFill>
    </fill>
    <fill>
      <patternFill patternType="solid">
        <fgColor rgb="00E6F7FF"/>
      </patternFill>
    </fill>
    <fill>
      <patternFill patternType="solid">
        <fgColor rgb="00FFE8B2"/>
      </patternFill>
    </fill>
    <fill>
      <patternFill patternType="solid">
        <fgColor rgb="00FFF7E6"/>
      </patternFill>
    </fill>
    <fill>
      <patternFill patternType="solid">
        <fgColor rgb="001A3C1E"/>
      </patternFill>
    </fill>
    <fill>
      <patternFill patternType="solid">
        <fgColor rgb="002D1A4A"/>
      </patternFill>
    </fill>
    <fill>
      <patternFill patternType="solid">
        <fgColor rgb="002A2A0D"/>
      </patternFill>
    </fill>
    <fill>
      <patternFill patternType="solid">
        <fgColor rgb="00D6E4FF"/>
      </patternFill>
    </fill>
    <fill>
      <patternFill patternType="solid">
        <fgColor rgb="00EFDBFF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164" fontId="7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6" borderId="0" applyAlignment="1" pivotButton="0" quotePrefix="0" xfId="0">
      <alignment horizontal="left" vertical="center"/>
    </xf>
    <xf numFmtId="0" fontId="3" fillId="17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left" vertical="center"/>
    </xf>
    <xf numFmtId="0" fontId="14" fillId="19" borderId="0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3" fillId="23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6" fillId="25" borderId="1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7">
    <dxf>
      <font>
        <name val="Segoe UI"/>
        <b val="1"/>
        <color rgb="00276221"/>
      </font>
      <fill>
        <patternFill patternType="solid">
          <fgColor rgb="00D9F7BE"/>
        </patternFill>
      </fill>
    </dxf>
    <dxf>
      <font>
        <name val="Segoe UI"/>
        <b val="1"/>
        <color rgb="00276221"/>
      </font>
      <fill>
        <patternFill patternType="solid">
          <fgColor rgb="00B7EB8F"/>
        </patternFill>
      </fill>
    </dxf>
    <dxf>
      <font>
        <name val="Segoe UI"/>
        <b val="1"/>
        <color rgb="007D5A00"/>
      </font>
      <fill>
        <patternFill patternType="solid">
          <fgColor rgb="00FFE58F"/>
        </patternFill>
      </fill>
    </dxf>
    <dxf>
      <font>
        <name val="Segoe UI"/>
        <b val="1"/>
        <color rgb="00820014"/>
      </font>
      <fill>
        <patternFill patternType="solid">
          <fgColor rgb="00FFCCC7"/>
        </patternFill>
      </fill>
    </dxf>
    <dxf>
      <font>
        <name val="Segoe UI"/>
        <b val="1"/>
        <color rgb="00820014"/>
      </font>
      <fill>
        <patternFill patternType="solid">
          <fgColor rgb="00FFA39E"/>
        </patternFill>
      </fill>
    </dxf>
    <dxf>
      <font>
        <name val="Segoe UI"/>
        <b val="1"/>
        <color rgb="009E006B"/>
      </font>
      <fill>
        <patternFill patternType="solid">
          <fgColor rgb="00FFD6E7"/>
        </patternFill>
      </fill>
    </dxf>
    <dxf>
      <font>
        <name val="Segoe UI"/>
        <b val="1"/>
        <color rgb="00595959"/>
      </font>
      <fill>
        <patternFill patternType="solid">
          <fgColor rgb="00F0F0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2C55E"/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4" customWidth="1" min="8" max="8"/>
  </cols>
  <sheetData>
    <row r="1" ht="32" customHeight="1">
      <c r="A1" s="1" t="inlineStr">
        <is>
          <t>DSP &amp; SSA — E2E Testing Summary Dashboard  |  April 2026</t>
        </is>
      </c>
    </row>
    <row r="2" ht="18" customHeight="1">
      <c r="A2" s="2" t="inlineStr">
        <is>
          <t>This sheet provides a KPI overview of testing progress. Values update automatically when you edit the data sheets.</t>
        </is>
      </c>
    </row>
    <row r="4" ht="22" customHeight="1">
      <c r="A4" s="3" t="inlineStr">
        <is>
          <t>Section</t>
        </is>
      </c>
      <c r="B4" s="3" t="inlineStr">
        <is>
          <t>Total Rows</t>
        </is>
      </c>
      <c r="C4" s="3" t="inlineStr">
        <is>
          <t>Passed</t>
        </is>
      </c>
      <c r="D4" s="3" t="inlineStr">
        <is>
          <t>Completed</t>
        </is>
      </c>
      <c r="E4" s="3" t="inlineStr">
        <is>
          <t>In Progress</t>
        </is>
      </c>
      <c r="F4" s="3" t="inlineStr">
        <is>
          <t>Failed/Blocked</t>
        </is>
      </c>
      <c r="G4" s="3" t="inlineStr">
        <is>
          <t>Not Started</t>
        </is>
      </c>
      <c r="H4" s="3" t="inlineStr">
        <is>
          <t>% Done</t>
        </is>
      </c>
    </row>
    <row r="5" ht="30" customHeight="1">
      <c r="A5" s="4" t="inlineStr">
        <is>
          <t>⚠  Manual update required: After filling data in DSP/SSA sheets, update the counts in rows below OR use COUNTIF formulas referencing those sheets.</t>
        </is>
      </c>
    </row>
    <row r="6" ht="20" customHeight="1">
      <c r="A6" s="5" t="inlineStr">
        <is>
          <t>DSP Manual — PT</t>
        </is>
      </c>
      <c r="B6" s="6">
        <f>COUNTIFS('DSP_Manual'!D6:D40,"PT")</f>
        <v/>
      </c>
      <c r="C6" s="7">
        <f>COUNTIFS('DSP_Manual'!D6:D40,"PT",'DSP_Manual'!G6:G40,"Passed")</f>
        <v/>
      </c>
      <c r="D6" s="8">
        <f>COUNTIFS('DSP_Manual'!D6:D40,"PT",'DSP_Manual'!G6:G40,"Completed")</f>
        <v/>
      </c>
      <c r="E6" s="9">
        <f>COUNTIFS('DSP_Manual'!D6:D40,"PT",'DSP_Manual'!G6:G40,"In Progress")</f>
        <v/>
      </c>
      <c r="F6" s="10">
        <f>COUNTIFS('DSP_Manual'!D6:D40,"PT",'DSP_Manual'!G6:G40,"Failed")+COUNTIFS('DSP_Manual'!D6:D40,"PT",'DSP_Manual'!G6:G40,"Blocked")+COUNTIFS('DSP_Manual'!D6:D40,"PT",'DSP_Manual'!G6:G40,"Connectivity Failing")</f>
        <v/>
      </c>
      <c r="G6" s="11">
        <f>COUNTIFS('DSP_Manual'!D6:D40,"PT",'DSP_Manual'!G6:G40,"")+COUNTIFS('DSP_Manual'!D6:D40,"PT",'DSP_Manual'!G6:G40,"Not Started")</f>
        <v/>
      </c>
      <c r="H6" s="12">
        <f>IF(B6=0,0,ROUND((B6+C6)/B6*100,1))</f>
        <v/>
      </c>
    </row>
    <row r="7" ht="20" customHeight="1">
      <c r="A7" s="13" t="inlineStr">
        <is>
          <t>DSP Manual — UAT</t>
        </is>
      </c>
      <c r="B7" s="14">
        <f>COUNTIFS('DSP_Manual'!D6:D40,"UAT")</f>
        <v/>
      </c>
      <c r="C7" s="7">
        <f>COUNTIFS('DSP_Manual'!D6:D40,"UAT",'DSP_Manual'!G6:G40,"Passed")</f>
        <v/>
      </c>
      <c r="D7" s="8">
        <f>COUNTIFS('DSP_Manual'!D6:D40,"UAT",'DSP_Manual'!G6:G40,"Completed")</f>
        <v/>
      </c>
      <c r="E7" s="9">
        <f>COUNTIFS('DSP_Manual'!D6:D40,"UAT",'DSP_Manual'!G6:G40,"In Progress")</f>
        <v/>
      </c>
      <c r="F7" s="10">
        <f>COUNTIFS('DSP_Manual'!D6:D40,"UAT",'DSP_Manual'!G6:G40,"Failed")+COUNTIFS('DSP_Manual'!D6:D40,"UAT",'DSP_Manual'!G6:G40,"Blocked")+COUNTIFS('DSP_Manual'!D6:D40,"UAT",'DSP_Manual'!G6:G40,"Connectivity Failing")</f>
        <v/>
      </c>
      <c r="G7" s="11">
        <f>COUNTIFS('DSP_Manual'!D6:D40,"UAT",'DSP_Manual'!G6:G40,"")+COUNTIFS('DSP_Manual'!D6:D40,"UAT",'DSP_Manual'!G6:G40,"Not Started")</f>
        <v/>
      </c>
      <c r="H7" s="12">
        <f>IF(B7=0,0,ROUND((B7+C7)/B7*100,1))</f>
        <v/>
      </c>
    </row>
    <row r="8" ht="20" customHeight="1">
      <c r="A8" s="5" t="inlineStr">
        <is>
          <t>DSP Auto — PT</t>
        </is>
      </c>
      <c r="B8" s="6">
        <f>COUNTIFS('DSP_Auto'!D6:D40,"PT")</f>
        <v/>
      </c>
      <c r="C8" s="7">
        <f>COUNTIFS('DSP_Auto'!D6:D40,"PT",'DSP_Auto'!G6:G40,"Passed")</f>
        <v/>
      </c>
      <c r="D8" s="8">
        <f>COUNTIFS('DSP_Auto'!D6:D40,"PT",'DSP_Auto'!G6:G40,"Completed")</f>
        <v/>
      </c>
      <c r="E8" s="9">
        <f>COUNTIFS('DSP_Auto'!D6:D40,"PT",'DSP_Auto'!G6:G40,"In Progress")</f>
        <v/>
      </c>
      <c r="F8" s="10">
        <f>COUNTIFS('DSP_Auto'!D6:D40,"PT",'DSP_Auto'!G6:G40,"Failed")+COUNTIFS('DSP_Auto'!D6:D40,"PT",'DSP_Auto'!G6:G40,"Blocked")+COUNTIFS('DSP_Auto'!D6:D40,"PT",'DSP_Auto'!G6:G40,"Connectivity Failing")</f>
        <v/>
      </c>
      <c r="G8" s="11">
        <f>COUNTIFS('DSP_Auto'!D6:D40,"PT",'DSP_Auto'!G6:G40,"")+COUNTIFS('DSP_Auto'!D6:D40,"PT",'DSP_Auto'!G6:G40,"Not Started")</f>
        <v/>
      </c>
      <c r="H8" s="12">
        <f>IF(B8=0,0,ROUND((B8+C8)/B8*100,1))</f>
        <v/>
      </c>
    </row>
    <row r="9" ht="20" customHeight="1">
      <c r="A9" s="13" t="inlineStr">
        <is>
          <t>DSP Auto — UAT</t>
        </is>
      </c>
      <c r="B9" s="14">
        <f>COUNTIFS('DSP_Auto'!D6:D40,"UAT")</f>
        <v/>
      </c>
      <c r="C9" s="7">
        <f>COUNTIFS('DSP_Auto'!D6:D40,"UAT",'DSP_Auto'!G6:G40,"Passed")</f>
        <v/>
      </c>
      <c r="D9" s="8">
        <f>COUNTIFS('DSP_Auto'!D6:D40,"UAT",'DSP_Auto'!G6:G40,"Completed")</f>
        <v/>
      </c>
      <c r="E9" s="9">
        <f>COUNTIFS('DSP_Auto'!D6:D40,"UAT",'DSP_Auto'!G6:G40,"In Progress")</f>
        <v/>
      </c>
      <c r="F9" s="10">
        <f>COUNTIFS('DSP_Auto'!D6:D40,"UAT",'DSP_Auto'!G6:G40,"Failed")+COUNTIFS('DSP_Auto'!D6:D40,"UAT",'DSP_Auto'!G6:G40,"Blocked")+COUNTIFS('DSP_Auto'!D6:D40,"UAT",'DSP_Auto'!G6:G40,"Connectivity Failing")</f>
        <v/>
      </c>
      <c r="G9" s="11">
        <f>COUNTIFS('DSP_Auto'!D6:D40,"UAT",'DSP_Auto'!G6:G40,"")+COUNTIFS('DSP_Auto'!D6:D40,"UAT",'DSP_Auto'!G6:G40,"Not Started")</f>
        <v/>
      </c>
      <c r="H9" s="12">
        <f>IF(B9=0,0,ROUND((B9+C9)/B9*100,1))</f>
        <v/>
      </c>
    </row>
    <row r="10" ht="20" customHeight="1">
      <c r="A10" s="5" t="inlineStr">
        <is>
          <t>SSA / GenAI</t>
        </is>
      </c>
      <c r="B10" s="6">
        <f>COUNTA('SSA_GenAI'!H4:H40)-COUNTBLANK('SSA_GenAI'!H4:H40)+8</f>
        <v/>
      </c>
      <c r="C10" s="7">
        <f>COUNTIF('SSA_GenAI'!H4:H40,"Passed")</f>
        <v/>
      </c>
      <c r="D10" s="8">
        <f>COUNTIF('SSA_GenAI'!H4:H40,"Completed")</f>
        <v/>
      </c>
      <c r="E10" s="9">
        <f>COUNTIF('SSA_GenAI'!H4:H40,"In Progress")</f>
        <v/>
      </c>
      <c r="F10" s="10">
        <f>COUNTIF('SSA_GenAI'!H4:H40,"Failed")+COUNTIF('SSA_GenAI'!H4:H40,"Blocked")+COUNTIF('SSA_GenAI'!H4:H40,"Connectivity Failing")</f>
        <v/>
      </c>
      <c r="G10" s="11">
        <f>COUNTIF('SSA_GenAI'!H4:H40,"")+COUNTIF('SSA_GenAI'!H4:H40,"Not Started")</f>
        <v/>
      </c>
      <c r="H10" s="12">
        <f>IF(B10=0,0,ROUND((B10+C10)/B10*100,1))</f>
        <v/>
      </c>
    </row>
    <row r="13" ht="22" customHeight="1">
      <c r="A13" s="15" t="inlineStr">
        <is>
          <t>Status Colour Legend</t>
        </is>
      </c>
    </row>
    <row r="14" ht="20" customHeight="1">
      <c r="A14" s="16" t="inlineStr">
        <is>
          <t>Passed</t>
        </is>
      </c>
      <c r="B14" s="17" t="n"/>
      <c r="C14" s="18" t="inlineStr">
        <is>
          <t>Completed</t>
        </is>
      </c>
      <c r="D14" s="17" t="n"/>
      <c r="E14" s="19" t="inlineStr">
        <is>
          <t>In Progress</t>
        </is>
      </c>
      <c r="F14" s="17" t="n"/>
      <c r="G14" s="20" t="inlineStr">
        <is>
          <t>Failed</t>
        </is>
      </c>
      <c r="H14" s="17" t="n"/>
    </row>
    <row r="15" ht="20" customHeight="1">
      <c r="A15" s="21" t="inlineStr">
        <is>
          <t>Blocked</t>
        </is>
      </c>
      <c r="B15" s="17" t="n"/>
      <c r="C15" s="22" t="inlineStr">
        <is>
          <t>Connectivity Failing</t>
        </is>
      </c>
      <c r="D15" s="17" t="n"/>
      <c r="E15" s="23" t="inlineStr">
        <is>
          <t>Not Started</t>
        </is>
      </c>
      <c r="F15" s="17" t="n"/>
    </row>
  </sheetData>
  <mergeCells count="11">
    <mergeCell ref="A1:J1"/>
    <mergeCell ref="A15:B15"/>
    <mergeCell ref="E15:F15"/>
    <mergeCell ref="C15:D15"/>
    <mergeCell ref="A2:J2"/>
    <mergeCell ref="C14:D14"/>
    <mergeCell ref="A14:B14"/>
    <mergeCell ref="A13:H13"/>
    <mergeCell ref="E14:F14"/>
    <mergeCell ref="G14:H14"/>
    <mergeCell ref="A5:H5"/>
  </mergeCells>
  <conditionalFormatting sqref="H6:H10">
    <cfRule type="dataBar" priority="1">
      <dataBar>
        <cfvo type="num" val="0"/>
        <cfvo type="num" val="100"/>
        <color rgb="0022C55E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6FA0"/>
    <outlinePr summaryBelow="1" summaryRight="1"/>
    <pageSetUpPr/>
  </sheetPr>
  <dimension ref="A1:K15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8" customWidth="1" min="4" max="4"/>
    <col width="10" customWidth="1" min="5" max="5"/>
    <col width="14" customWidth="1" min="6" max="6"/>
    <col width="22" customWidth="1" min="7" max="7"/>
    <col width="28" customWidth="1" min="8" max="8"/>
    <col width="22" customWidth="1" min="9" max="9"/>
    <col width="18" customWidth="1" min="10" max="10"/>
    <col width="30" customWidth="1" min="11" max="11"/>
  </cols>
  <sheetData>
    <row r="1" ht="28" customHeight="1">
      <c r="A1" s="24" t="inlineStr">
        <is>
          <t>DSP E2E Testing — Manual Testing Opportunities  |  April 2026</t>
        </is>
      </c>
    </row>
    <row r="2" ht="18" customHeight="1">
      <c r="A2" s="2" t="inlineStr">
        <is>
          <t>Track testing progress per tester, environment, and SG. Use dropdowns for ENV, SG, Status.</t>
        </is>
      </c>
    </row>
    <row r="3" ht="22" customHeight="1">
      <c r="A3" s="25" t="inlineStr">
        <is>
          <t xml:space="preserve">  ► PT  (Pre-Testing) Rows</t>
        </is>
      </c>
    </row>
    <row r="4" ht="20" customHeight="1">
      <c r="A4" s="26" t="inlineStr">
        <is>
          <t>#</t>
        </is>
      </c>
      <c r="B4" s="26" t="inlineStr">
        <is>
          <t>Tester</t>
        </is>
      </c>
      <c r="C4" s="26" t="inlineStr">
        <is>
          <t>Module</t>
        </is>
      </c>
      <c r="D4" s="26" t="inlineStr">
        <is>
          <t>ENV</t>
        </is>
      </c>
      <c r="E4" s="26" t="inlineStr">
        <is>
          <t>SG</t>
        </is>
      </c>
      <c r="F4" s="26" t="inlineStr">
        <is>
          <t>Deal ID</t>
        </is>
      </c>
      <c r="G4" s="26" t="inlineStr">
        <is>
          <t>Status</t>
        </is>
      </c>
      <c r="H4" s="26" t="inlineStr">
        <is>
          <t>Comments</t>
        </is>
      </c>
      <c r="I4" s="26" t="inlineStr">
        <is>
          <t>Last Edited By</t>
        </is>
      </c>
      <c r="J4" s="26" t="inlineStr">
        <is>
          <t>Last Edited At</t>
        </is>
      </c>
      <c r="K4" s="26" t="inlineStr">
        <is>
          <t>Notes</t>
        </is>
      </c>
    </row>
    <row r="5" ht="18" customHeight="1">
      <c r="A5" s="27" t="n">
        <v>1</v>
      </c>
      <c r="B5" s="27" t="inlineStr">
        <is>
          <t>kalpana@example.com</t>
        </is>
      </c>
      <c r="C5" s="27" t="inlineStr">
        <is>
          <t>DSP</t>
        </is>
      </c>
      <c r="D5" s="27" t="inlineStr">
        <is>
          <t>PT</t>
        </is>
      </c>
      <c r="E5" s="27" t="inlineStr">
        <is>
          <t>SI</t>
        </is>
      </c>
      <c r="F5" s="27" t="n">
        <v>12486005</v>
      </c>
      <c r="G5" s="27" t="inlineStr"/>
      <c r="H5" s="27" t="inlineStr"/>
      <c r="I5" s="27" t="inlineStr"/>
      <c r="J5" s="27" t="inlineStr"/>
      <c r="K5" s="27" t="inlineStr"/>
    </row>
    <row r="6" ht="18" customHeight="1">
      <c r="A6" s="27" t="n">
        <v>3</v>
      </c>
      <c r="B6" s="27" t="inlineStr">
        <is>
          <t>harshitha@example.com</t>
        </is>
      </c>
      <c r="C6" s="27" t="inlineStr">
        <is>
          <t>DSP</t>
        </is>
      </c>
      <c r="D6" s="27" t="inlineStr">
        <is>
          <t>PT</t>
        </is>
      </c>
      <c r="E6" s="27" t="inlineStr">
        <is>
          <t>AMS</t>
        </is>
      </c>
      <c r="F6" s="27" t="n">
        <v>12486005</v>
      </c>
      <c r="G6" s="27" t="inlineStr"/>
      <c r="H6" s="27" t="inlineStr"/>
      <c r="I6" s="27" t="inlineStr"/>
      <c r="J6" s="27" t="inlineStr"/>
      <c r="K6" s="27" t="inlineStr"/>
    </row>
    <row r="7" ht="18" customHeight="1">
      <c r="A7" s="27" t="n">
        <v>5</v>
      </c>
      <c r="B7" s="27" t="inlineStr">
        <is>
          <t>reshma@example.com</t>
        </is>
      </c>
      <c r="C7" s="27" t="inlineStr">
        <is>
          <t>DSP</t>
        </is>
      </c>
      <c r="D7" s="27" t="inlineStr">
        <is>
          <t>PT</t>
        </is>
      </c>
      <c r="E7" s="27" t="inlineStr">
        <is>
          <t>BPMS</t>
        </is>
      </c>
      <c r="F7" s="27" t="n">
        <v>12486005</v>
      </c>
      <c r="G7" s="27" t="inlineStr"/>
      <c r="H7" s="27" t="inlineStr"/>
      <c r="I7" s="27" t="inlineStr"/>
      <c r="J7" s="27" t="inlineStr"/>
      <c r="K7" s="27" t="inlineStr"/>
    </row>
    <row r="8" ht="18" customHeight="1">
      <c r="A8" s="27" t="n">
        <v>7</v>
      </c>
      <c r="B8" s="27" t="inlineStr">
        <is>
          <t>saikumar@example.com</t>
        </is>
      </c>
      <c r="C8" s="27" t="inlineStr">
        <is>
          <t>DSP</t>
        </is>
      </c>
      <c r="D8" s="27" t="inlineStr">
        <is>
          <t>PT</t>
        </is>
      </c>
      <c r="E8" s="27" t="inlineStr">
        <is>
          <t>IMS</t>
        </is>
      </c>
      <c r="F8" s="27" t="n">
        <v>12486005</v>
      </c>
      <c r="G8" s="27" t="inlineStr"/>
      <c r="H8" s="27" t="inlineStr"/>
      <c r="I8" s="27" t="inlineStr"/>
      <c r="J8" s="27" t="inlineStr"/>
      <c r="K8" s="27" t="inlineStr"/>
    </row>
    <row r="10" ht="22" customHeight="1">
      <c r="A10" s="28" t="inlineStr">
        <is>
          <t xml:space="preserve">  ► UAT (User Acceptance Testing) Rows</t>
        </is>
      </c>
    </row>
    <row r="11" ht="20" customHeight="1">
      <c r="A11" s="26" t="inlineStr">
        <is>
          <t>#</t>
        </is>
      </c>
      <c r="B11" s="26" t="inlineStr">
        <is>
          <t>Tester</t>
        </is>
      </c>
      <c r="C11" s="26" t="inlineStr">
        <is>
          <t>Module</t>
        </is>
      </c>
      <c r="D11" s="26" t="inlineStr">
        <is>
          <t>ENV</t>
        </is>
      </c>
      <c r="E11" s="26" t="inlineStr">
        <is>
          <t>SG</t>
        </is>
      </c>
      <c r="F11" s="26" t="inlineStr">
        <is>
          <t>Deal ID</t>
        </is>
      </c>
      <c r="G11" s="26" t="inlineStr">
        <is>
          <t>Status</t>
        </is>
      </c>
      <c r="H11" s="26" t="inlineStr">
        <is>
          <t>Comments</t>
        </is>
      </c>
      <c r="I11" s="26" t="inlineStr">
        <is>
          <t>Last Edited By</t>
        </is>
      </c>
      <c r="J11" s="26" t="inlineStr">
        <is>
          <t>Last Edited At</t>
        </is>
      </c>
      <c r="K11" s="26" t="inlineStr">
        <is>
          <t>Notes</t>
        </is>
      </c>
    </row>
    <row r="12" ht="18" customHeight="1">
      <c r="A12" s="29" t="n">
        <v>2</v>
      </c>
      <c r="B12" s="29" t="inlineStr">
        <is>
          <t>swati@example.com</t>
        </is>
      </c>
      <c r="C12" s="29" t="inlineStr">
        <is>
          <t>DSP</t>
        </is>
      </c>
      <c r="D12" s="29" t="inlineStr">
        <is>
          <t>UAT</t>
        </is>
      </c>
      <c r="E12" s="29" t="inlineStr">
        <is>
          <t>SI</t>
        </is>
      </c>
      <c r="F12" s="29" t="n">
        <v>12481592</v>
      </c>
      <c r="G12" s="29" t="inlineStr"/>
      <c r="H12" s="29" t="inlineStr"/>
      <c r="I12" s="29" t="inlineStr"/>
      <c r="J12" s="29" t="inlineStr"/>
      <c r="K12" s="29" t="inlineStr"/>
    </row>
    <row r="13" ht="18" customHeight="1">
      <c r="A13" s="29" t="n">
        <v>4</v>
      </c>
      <c r="B13" s="29" t="inlineStr">
        <is>
          <t>nayak@example.com</t>
        </is>
      </c>
      <c r="C13" s="29" t="inlineStr">
        <is>
          <t>DSP</t>
        </is>
      </c>
      <c r="D13" s="29" t="inlineStr">
        <is>
          <t>UAT</t>
        </is>
      </c>
      <c r="E13" s="29" t="inlineStr">
        <is>
          <t>AMS</t>
        </is>
      </c>
      <c r="F13" s="29" t="n">
        <v>12481592</v>
      </c>
      <c r="G13" s="29" t="inlineStr"/>
      <c r="H13" s="29" t="inlineStr"/>
      <c r="I13" s="29" t="inlineStr"/>
      <c r="J13" s="29" t="inlineStr"/>
      <c r="K13" s="29" t="inlineStr"/>
    </row>
    <row r="14" ht="18" customHeight="1">
      <c r="A14" s="29" t="n">
        <v>6</v>
      </c>
      <c r="B14" s="29" t="inlineStr">
        <is>
          <t>sushmetha@example.com</t>
        </is>
      </c>
      <c r="C14" s="29" t="inlineStr">
        <is>
          <t>DSP</t>
        </is>
      </c>
      <c r="D14" s="29" t="inlineStr">
        <is>
          <t>UAT</t>
        </is>
      </c>
      <c r="E14" s="29" t="inlineStr">
        <is>
          <t>BPMS</t>
        </is>
      </c>
      <c r="F14" s="29" t="n">
        <v>12481592</v>
      </c>
      <c r="G14" s="29" t="inlineStr"/>
      <c r="H14" s="29" t="inlineStr"/>
      <c r="I14" s="29" t="inlineStr"/>
      <c r="J14" s="29" t="inlineStr"/>
      <c r="K14" s="29" t="inlineStr"/>
    </row>
    <row r="15" ht="18" customHeight="1">
      <c r="A15" s="29" t="n">
        <v>8</v>
      </c>
      <c r="B15" s="29" t="inlineStr">
        <is>
          <t>naveena@example.com</t>
        </is>
      </c>
      <c r="C15" s="29" t="inlineStr">
        <is>
          <t>DSP</t>
        </is>
      </c>
      <c r="D15" s="29" t="inlineStr">
        <is>
          <t>UAT</t>
        </is>
      </c>
      <c r="E15" s="29" t="inlineStr">
        <is>
          <t>IMS</t>
        </is>
      </c>
      <c r="F15" s="29" t="n">
        <v>12481592</v>
      </c>
      <c r="G15" s="29" t="inlineStr"/>
      <c r="H15" s="29" t="inlineStr"/>
      <c r="I15" s="29" t="inlineStr"/>
      <c r="J15" s="29" t="inlineStr"/>
      <c r="K15" s="29" t="inlineStr"/>
    </row>
  </sheetData>
  <autoFilter ref="A4:K8"/>
  <mergeCells count="4">
    <mergeCell ref="A2:K2"/>
    <mergeCell ref="A1:K1"/>
    <mergeCell ref="A10:K10"/>
    <mergeCell ref="A3:K3"/>
  </mergeCells>
  <conditionalFormatting sqref="G5:G28">
    <cfRule type="containsText" priority="1" operator="containsText" dxfId="0" text="Passed">
      <formula>NOT(ISERROR(SEARCH("Passed",G5)))</formula>
    </cfRule>
    <cfRule type="containsText" priority="2" operator="containsText" dxfId="1" text="Completed">
      <formula>NOT(ISERROR(SEARCH("Completed",G5)))</formula>
    </cfRule>
    <cfRule type="containsText" priority="3" operator="containsText" dxfId="2" text="In Progress">
      <formula>NOT(ISERROR(SEARCH("In Progress",G5)))</formula>
    </cfRule>
    <cfRule type="containsText" priority="4" operator="containsText" dxfId="3" text="Failed">
      <formula>NOT(ISERROR(SEARCH("Failed",G5)))</formula>
    </cfRule>
    <cfRule type="containsText" priority="5" operator="containsText" dxfId="4" text="Blocked">
      <formula>NOT(ISERROR(SEARCH("Blocked",G5)))</formula>
    </cfRule>
    <cfRule type="containsText" priority="6" operator="containsText" dxfId="5" text="Connectivity Failing">
      <formula>NOT(ISERROR(SEARCH("Connectivity Failing",G5)))</formula>
    </cfRule>
    <cfRule type="containsText" priority="7" operator="containsText" dxfId="6" text="Not Started">
      <formula>NOT(ISERROR(SEARCH("Not Started",G5)))</formula>
    </cfRule>
  </conditionalFormatting>
  <conditionalFormatting sqref="G12:G35">
    <cfRule type="containsText" priority="8" operator="containsText" dxfId="0" text="Passed">
      <formula>NOT(ISERROR(SEARCH("Passed",G12)))</formula>
    </cfRule>
    <cfRule type="containsText" priority="9" operator="containsText" dxfId="1" text="Completed">
      <formula>NOT(ISERROR(SEARCH("Completed",G12)))</formula>
    </cfRule>
    <cfRule type="containsText" priority="10" operator="containsText" dxfId="2" text="In Progress">
      <formula>NOT(ISERROR(SEARCH("In Progress",G12)))</formula>
    </cfRule>
    <cfRule type="containsText" priority="11" operator="containsText" dxfId="3" text="Failed">
      <formula>NOT(ISERROR(SEARCH("Failed",G12)))</formula>
    </cfRule>
    <cfRule type="containsText" priority="12" operator="containsText" dxfId="4" text="Blocked">
      <formula>NOT(ISERROR(SEARCH("Blocked",G12)))</formula>
    </cfRule>
    <cfRule type="containsText" priority="13" operator="containsText" dxfId="5" text="Connectivity Failing">
      <formula>NOT(ISERROR(SEARCH("Connectivity Failing",G12)))</formula>
    </cfRule>
    <cfRule type="containsText" priority="14" operator="containsText" dxfId="6" text="Not Started">
      <formula>NOT(ISERROR(SEARCH("Not Started",G12)))</formula>
    </cfRule>
  </conditionalFormatting>
  <dataValidations count="6">
    <dataValidation sqref="D5:D28" showDropDown="0" showInputMessage="0" showErrorMessage="1" allowBlank="0" errorTitle="Invalid Value" error="Please choose from the dropdown list." type="list">
      <formula1>"PT,UAT"</formula1>
    </dataValidation>
    <dataValidation sqref="E5:E28" showDropDown="0" showInputMessage="0" showErrorMessage="1" allowBlank="0" errorTitle="Invalid Value" error="Please choose from the dropdown list." type="list">
      <formula1>"SI,AMS,BPMS,IMS"</formula1>
    </dataValidation>
    <dataValidation sqref="G5:G28" showDropDown="0" showInputMessage="0" showErrorMessage="1" allowBlank="0" errorTitle="Invalid Status" error="Please choose a value from the list." type="list">
      <formula1>"Not Started,In Progress,Completed,Passed,Failed,Blocked,Connectivity Failing"</formula1>
    </dataValidation>
    <dataValidation sqref="D12:D35" showDropDown="0" showInputMessage="0" showErrorMessage="1" allowBlank="0" errorTitle="Invalid Value" error="Please choose from the dropdown list." type="list">
      <formula1>"PT,UAT"</formula1>
    </dataValidation>
    <dataValidation sqref="E12:E35" showDropDown="0" showInputMessage="0" showErrorMessage="1" allowBlank="0" errorTitle="Invalid Value" error="Please choose from the dropdown list." type="list">
      <formula1>"SI,AMS,BPMS,IMS"</formula1>
    </dataValidation>
    <dataValidation sqref="G12:G35" showDropDown="0" showInputMessage="0" showErrorMessage="1" allowBlank="0" errorTitle="Invalid Status" error="Please choose a value from the list." type="list">
      <formula1>"Not Started,In Progress,Completed,Passed,Failed,Blocked,Connectivity Failing"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37B2E"/>
    <outlinePr summaryBelow="1" summaryRight="1"/>
    <pageSetUpPr/>
  </sheetPr>
  <dimension ref="A1:K15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8" customWidth="1" min="4" max="4"/>
    <col width="10" customWidth="1" min="5" max="5"/>
    <col width="14" customWidth="1" min="6" max="6"/>
    <col width="22" customWidth="1" min="7" max="7"/>
    <col width="28" customWidth="1" min="8" max="8"/>
    <col width="22" customWidth="1" min="9" max="9"/>
    <col width="18" customWidth="1" min="10" max="10"/>
    <col width="30" customWidth="1" min="11" max="11"/>
  </cols>
  <sheetData>
    <row r="1" ht="28" customHeight="1">
      <c r="A1" s="24" t="inlineStr">
        <is>
          <t>DSP E2E Testing — Automation Testing Opportunities  |  April 2026</t>
        </is>
      </c>
    </row>
    <row r="2" ht="18" customHeight="1">
      <c r="A2" s="2" t="inlineStr">
        <is>
          <t>Track testing progress per tester, environment, and SG. Use dropdowns for ENV, SG, Status.</t>
        </is>
      </c>
    </row>
    <row r="3" ht="22" customHeight="1">
      <c r="A3" s="25" t="inlineStr">
        <is>
          <t xml:space="preserve">  ► PT  (Pre-Testing) Rows</t>
        </is>
      </c>
    </row>
    <row r="4" ht="20" customHeight="1">
      <c r="A4" s="30" t="inlineStr">
        <is>
          <t>#</t>
        </is>
      </c>
      <c r="B4" s="30" t="inlineStr">
        <is>
          <t>Tester</t>
        </is>
      </c>
      <c r="C4" s="30" t="inlineStr">
        <is>
          <t>Module</t>
        </is>
      </c>
      <c r="D4" s="30" t="inlineStr">
        <is>
          <t>ENV</t>
        </is>
      </c>
      <c r="E4" s="30" t="inlineStr">
        <is>
          <t>SG</t>
        </is>
      </c>
      <c r="F4" s="30" t="inlineStr">
        <is>
          <t>Deal ID</t>
        </is>
      </c>
      <c r="G4" s="30" t="inlineStr">
        <is>
          <t>Status</t>
        </is>
      </c>
      <c r="H4" s="30" t="inlineStr">
        <is>
          <t>Comments</t>
        </is>
      </c>
      <c r="I4" s="30" t="inlineStr">
        <is>
          <t>Last Edited By</t>
        </is>
      </c>
      <c r="J4" s="30" t="inlineStr">
        <is>
          <t>Last Edited At</t>
        </is>
      </c>
      <c r="K4" s="30" t="inlineStr">
        <is>
          <t>Notes</t>
        </is>
      </c>
    </row>
    <row r="5" ht="18" customHeight="1">
      <c r="A5" s="27" t="n">
        <v>1</v>
      </c>
      <c r="B5" s="27" t="inlineStr">
        <is>
          <t>haritha@example.com</t>
        </is>
      </c>
      <c r="C5" s="27" t="inlineStr">
        <is>
          <t>DSP</t>
        </is>
      </c>
      <c r="D5" s="27" t="inlineStr">
        <is>
          <t>PT</t>
        </is>
      </c>
      <c r="E5" s="27" t="inlineStr">
        <is>
          <t>SI</t>
        </is>
      </c>
      <c r="F5" s="27" t="n">
        <v>12486006</v>
      </c>
      <c r="G5" s="27" t="inlineStr"/>
      <c r="H5" s="27" t="inlineStr"/>
      <c r="I5" s="27" t="inlineStr"/>
      <c r="J5" s="27" t="inlineStr"/>
      <c r="K5" s="27" t="inlineStr"/>
    </row>
    <row r="6" ht="18" customHeight="1">
      <c r="A6" s="27" t="n">
        <v>3</v>
      </c>
      <c r="B6" s="27" t="inlineStr">
        <is>
          <t>pratik@example.com</t>
        </is>
      </c>
      <c r="C6" s="27" t="inlineStr">
        <is>
          <t>DSP</t>
        </is>
      </c>
      <c r="D6" s="27" t="inlineStr">
        <is>
          <t>PT</t>
        </is>
      </c>
      <c r="E6" s="27" t="inlineStr">
        <is>
          <t>AMS</t>
        </is>
      </c>
      <c r="F6" s="27" t="n">
        <v>12486006</v>
      </c>
      <c r="G6" s="27" t="inlineStr"/>
      <c r="H6" s="27" t="inlineStr"/>
      <c r="I6" s="27" t="inlineStr"/>
      <c r="J6" s="27" t="inlineStr"/>
      <c r="K6" s="27" t="inlineStr"/>
    </row>
    <row r="7" ht="18" customHeight="1">
      <c r="A7" s="27" t="n">
        <v>5</v>
      </c>
      <c r="B7" s="27" t="inlineStr">
        <is>
          <t>varadha@example.com</t>
        </is>
      </c>
      <c r="C7" s="27" t="inlineStr">
        <is>
          <t>DSP</t>
        </is>
      </c>
      <c r="D7" s="27" t="inlineStr">
        <is>
          <t>PT</t>
        </is>
      </c>
      <c r="E7" s="27" t="inlineStr">
        <is>
          <t>BPMS</t>
        </is>
      </c>
      <c r="F7" s="27" t="n">
        <v>12486006</v>
      </c>
      <c r="G7" s="27" t="inlineStr"/>
      <c r="H7" s="27" t="inlineStr"/>
      <c r="I7" s="27" t="inlineStr"/>
      <c r="J7" s="27" t="inlineStr"/>
      <c r="K7" s="27" t="inlineStr"/>
    </row>
    <row r="8" ht="18" customHeight="1">
      <c r="A8" s="27" t="n">
        <v>7</v>
      </c>
      <c r="B8" s="27" t="inlineStr">
        <is>
          <t>saikumar@example.com</t>
        </is>
      </c>
      <c r="C8" s="27" t="inlineStr">
        <is>
          <t>DSP</t>
        </is>
      </c>
      <c r="D8" s="27" t="inlineStr">
        <is>
          <t>PT</t>
        </is>
      </c>
      <c r="E8" s="27" t="inlineStr">
        <is>
          <t>IMS</t>
        </is>
      </c>
      <c r="F8" s="27" t="n">
        <v>12486006</v>
      </c>
      <c r="G8" s="27" t="inlineStr"/>
      <c r="H8" s="27" t="inlineStr"/>
      <c r="I8" s="27" t="inlineStr"/>
      <c r="J8" s="27" t="inlineStr"/>
      <c r="K8" s="27" t="inlineStr"/>
    </row>
    <row r="10" ht="22" customHeight="1">
      <c r="A10" s="28" t="inlineStr">
        <is>
          <t xml:space="preserve">  ► UAT (User Acceptance Testing) Rows</t>
        </is>
      </c>
    </row>
    <row r="11" ht="20" customHeight="1">
      <c r="A11" s="30" t="inlineStr">
        <is>
          <t>#</t>
        </is>
      </c>
      <c r="B11" s="30" t="inlineStr">
        <is>
          <t>Tester</t>
        </is>
      </c>
      <c r="C11" s="30" t="inlineStr">
        <is>
          <t>Module</t>
        </is>
      </c>
      <c r="D11" s="30" t="inlineStr">
        <is>
          <t>ENV</t>
        </is>
      </c>
      <c r="E11" s="30" t="inlineStr">
        <is>
          <t>SG</t>
        </is>
      </c>
      <c r="F11" s="30" t="inlineStr">
        <is>
          <t>Deal ID</t>
        </is>
      </c>
      <c r="G11" s="30" t="inlineStr">
        <is>
          <t>Status</t>
        </is>
      </c>
      <c r="H11" s="30" t="inlineStr">
        <is>
          <t>Comments</t>
        </is>
      </c>
      <c r="I11" s="30" t="inlineStr">
        <is>
          <t>Last Edited By</t>
        </is>
      </c>
      <c r="J11" s="30" t="inlineStr">
        <is>
          <t>Last Edited At</t>
        </is>
      </c>
      <c r="K11" s="30" t="inlineStr">
        <is>
          <t>Notes</t>
        </is>
      </c>
    </row>
    <row r="12" ht="18" customHeight="1">
      <c r="A12" s="29" t="n">
        <v>2</v>
      </c>
      <c r="B12" s="29" t="inlineStr">
        <is>
          <t>prasanna@example.com</t>
        </is>
      </c>
      <c r="C12" s="29" t="inlineStr">
        <is>
          <t>DSP</t>
        </is>
      </c>
      <c r="D12" s="29" t="inlineStr">
        <is>
          <t>UAT</t>
        </is>
      </c>
      <c r="E12" s="29" t="inlineStr">
        <is>
          <t>SI</t>
        </is>
      </c>
      <c r="F12" s="29" t="n">
        <v>12481593</v>
      </c>
      <c r="G12" s="29" t="inlineStr"/>
      <c r="H12" s="29" t="inlineStr"/>
      <c r="I12" s="29" t="inlineStr"/>
      <c r="J12" s="29" t="inlineStr"/>
      <c r="K12" s="29" t="inlineStr"/>
    </row>
    <row r="13" ht="18" customHeight="1">
      <c r="A13" s="29" t="n">
        <v>4</v>
      </c>
      <c r="B13" s="29" t="inlineStr">
        <is>
          <t>haripriya@example.com</t>
        </is>
      </c>
      <c r="C13" s="29" t="inlineStr">
        <is>
          <t>DSP</t>
        </is>
      </c>
      <c r="D13" s="29" t="inlineStr">
        <is>
          <t>UAT</t>
        </is>
      </c>
      <c r="E13" s="29" t="inlineStr">
        <is>
          <t>AMS</t>
        </is>
      </c>
      <c r="F13" s="29" t="n">
        <v>12481593</v>
      </c>
      <c r="G13" s="29" t="inlineStr"/>
      <c r="H13" s="29" t="inlineStr"/>
      <c r="I13" s="29" t="inlineStr"/>
      <c r="J13" s="29" t="inlineStr"/>
      <c r="K13" s="29" t="inlineStr"/>
    </row>
    <row r="14" ht="18" customHeight="1">
      <c r="A14" s="29" t="n">
        <v>6</v>
      </c>
      <c r="B14" s="29" t="inlineStr">
        <is>
          <t>narmatha@example.com</t>
        </is>
      </c>
      <c r="C14" s="29" t="inlineStr">
        <is>
          <t>DSP</t>
        </is>
      </c>
      <c r="D14" s="29" t="inlineStr">
        <is>
          <t>UAT</t>
        </is>
      </c>
      <c r="E14" s="29" t="inlineStr">
        <is>
          <t>BPMS</t>
        </is>
      </c>
      <c r="F14" s="29" t="n">
        <v>12481593</v>
      </c>
      <c r="G14" s="29" t="inlineStr">
        <is>
          <t>In Progress</t>
        </is>
      </c>
      <c r="H14" s="29" t="inlineStr"/>
      <c r="I14" s="29" t="inlineStr"/>
      <c r="J14" s="29" t="inlineStr"/>
      <c r="K14" s="29" t="inlineStr"/>
    </row>
    <row r="15" ht="18" customHeight="1">
      <c r="A15" s="29" t="n">
        <v>8</v>
      </c>
      <c r="B15" s="29" t="inlineStr">
        <is>
          <t>naveena@example.com</t>
        </is>
      </c>
      <c r="C15" s="29" t="inlineStr">
        <is>
          <t>DSP</t>
        </is>
      </c>
      <c r="D15" s="29" t="inlineStr">
        <is>
          <t>UAT</t>
        </is>
      </c>
      <c r="E15" s="29" t="inlineStr">
        <is>
          <t>IMS</t>
        </is>
      </c>
      <c r="F15" s="29" t="n">
        <v>12481593</v>
      </c>
      <c r="G15" s="29" t="inlineStr"/>
      <c r="H15" s="29" t="inlineStr"/>
      <c r="I15" s="29" t="inlineStr"/>
      <c r="J15" s="29" t="inlineStr"/>
      <c r="K15" s="29" t="inlineStr"/>
    </row>
  </sheetData>
  <autoFilter ref="A4:K8"/>
  <mergeCells count="4">
    <mergeCell ref="A2:K2"/>
    <mergeCell ref="A1:K1"/>
    <mergeCell ref="A10:K10"/>
    <mergeCell ref="A3:K3"/>
  </mergeCells>
  <conditionalFormatting sqref="G5:G28">
    <cfRule type="containsText" priority="1" operator="containsText" dxfId="0" text="Passed">
      <formula>NOT(ISERROR(SEARCH("Passed",G5)))</formula>
    </cfRule>
    <cfRule type="containsText" priority="2" operator="containsText" dxfId="1" text="Completed">
      <formula>NOT(ISERROR(SEARCH("Completed",G5)))</formula>
    </cfRule>
    <cfRule type="containsText" priority="3" operator="containsText" dxfId="2" text="In Progress">
      <formula>NOT(ISERROR(SEARCH("In Progress",G5)))</formula>
    </cfRule>
    <cfRule type="containsText" priority="4" operator="containsText" dxfId="3" text="Failed">
      <formula>NOT(ISERROR(SEARCH("Failed",G5)))</formula>
    </cfRule>
    <cfRule type="containsText" priority="5" operator="containsText" dxfId="4" text="Blocked">
      <formula>NOT(ISERROR(SEARCH("Blocked",G5)))</formula>
    </cfRule>
    <cfRule type="containsText" priority="6" operator="containsText" dxfId="5" text="Connectivity Failing">
      <formula>NOT(ISERROR(SEARCH("Connectivity Failing",G5)))</formula>
    </cfRule>
    <cfRule type="containsText" priority="7" operator="containsText" dxfId="6" text="Not Started">
      <formula>NOT(ISERROR(SEARCH("Not Started",G5)))</formula>
    </cfRule>
  </conditionalFormatting>
  <conditionalFormatting sqref="G12:G35">
    <cfRule type="containsText" priority="8" operator="containsText" dxfId="0" text="Passed">
      <formula>NOT(ISERROR(SEARCH("Passed",G12)))</formula>
    </cfRule>
    <cfRule type="containsText" priority="9" operator="containsText" dxfId="1" text="Completed">
      <formula>NOT(ISERROR(SEARCH("Completed",G12)))</formula>
    </cfRule>
    <cfRule type="containsText" priority="10" operator="containsText" dxfId="2" text="In Progress">
      <formula>NOT(ISERROR(SEARCH("In Progress",G12)))</formula>
    </cfRule>
    <cfRule type="containsText" priority="11" operator="containsText" dxfId="3" text="Failed">
      <formula>NOT(ISERROR(SEARCH("Failed",G12)))</formula>
    </cfRule>
    <cfRule type="containsText" priority="12" operator="containsText" dxfId="4" text="Blocked">
      <formula>NOT(ISERROR(SEARCH("Blocked",G12)))</formula>
    </cfRule>
    <cfRule type="containsText" priority="13" operator="containsText" dxfId="5" text="Connectivity Failing">
      <formula>NOT(ISERROR(SEARCH("Connectivity Failing",G12)))</formula>
    </cfRule>
    <cfRule type="containsText" priority="14" operator="containsText" dxfId="6" text="Not Started">
      <formula>NOT(ISERROR(SEARCH("Not Started",G12)))</formula>
    </cfRule>
  </conditionalFormatting>
  <dataValidations count="6">
    <dataValidation sqref="D5:D28" showDropDown="0" showInputMessage="0" showErrorMessage="1" allowBlank="0" errorTitle="Invalid Value" error="Please choose from the dropdown list." type="list">
      <formula1>"PT,UAT"</formula1>
    </dataValidation>
    <dataValidation sqref="E5:E28" showDropDown="0" showInputMessage="0" showErrorMessage="1" allowBlank="0" errorTitle="Invalid Value" error="Please choose from the dropdown list." type="list">
      <formula1>"SI,AMS,BPMS,IMS"</formula1>
    </dataValidation>
    <dataValidation sqref="G5:G28" showDropDown="0" showInputMessage="0" showErrorMessage="1" allowBlank="0" errorTitle="Invalid Status" error="Please choose a value from the list." type="list">
      <formula1>"Not Started,In Progress,Completed,Passed,Failed,Blocked,Connectivity Failing"</formula1>
    </dataValidation>
    <dataValidation sqref="D12:D35" showDropDown="0" showInputMessage="0" showErrorMessage="1" allowBlank="0" errorTitle="Invalid Value" error="Please choose from the dropdown list." type="list">
      <formula1>"PT,UAT"</formula1>
    </dataValidation>
    <dataValidation sqref="E12:E35" showDropDown="0" showInputMessage="0" showErrorMessage="1" allowBlank="0" errorTitle="Invalid Value" error="Please choose from the dropdown list." type="list">
      <formula1>"SI,AMS,BPMS,IMS"</formula1>
    </dataValidation>
    <dataValidation sqref="G12:G35" showDropDown="0" showInputMessage="0" showErrorMessage="1" allowBlank="0" errorTitle="Invalid Status" error="Please choose a value from the list." type="list">
      <formula1>"Not Started,In Progress,Completed,Passed,Failed,Blocked,Connectivity Failing"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B21A8"/>
    <outlinePr summaryBelow="1" summaryRight="1"/>
    <pageSetUpPr/>
  </sheetPr>
  <dimension ref="A1:K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  <col width="22" customWidth="1" min="9" max="9"/>
    <col width="18" customWidth="1" min="10" max="10"/>
    <col width="30" customWidth="1" min="11" max="11"/>
  </cols>
  <sheetData>
    <row r="1" ht="28" customHeight="1">
      <c r="A1" s="24" t="inlineStr">
        <is>
          <t>SSA / GenAI Module Testing  |  April 2026</t>
        </is>
      </c>
    </row>
    <row r="2" ht="18" customHeight="1">
      <c r="A2" s="2" t="inlineStr">
        <is>
          <t>Ensure configuration is applied to ALL deals before marking Passed/Completed.</t>
        </is>
      </c>
    </row>
    <row r="3" ht="20" customHeight="1">
      <c r="A3" s="31" t="inlineStr">
        <is>
          <t>#</t>
        </is>
      </c>
      <c r="B3" s="31" t="inlineStr">
        <is>
          <t>Tester</t>
        </is>
      </c>
      <c r="C3" s="31" t="inlineStr">
        <is>
          <t>Module/Feature</t>
        </is>
      </c>
      <c r="D3" s="31" t="inlineStr">
        <is>
          <t>Deal ID 1</t>
        </is>
      </c>
      <c r="E3" s="31" t="inlineStr">
        <is>
          <t>Deal ID 2</t>
        </is>
      </c>
      <c r="F3" s="31" t="inlineStr">
        <is>
          <t>Deal ID 3</t>
        </is>
      </c>
      <c r="G3" s="31" t="inlineStr">
        <is>
          <t>Deal ID 4</t>
        </is>
      </c>
      <c r="H3" s="31" t="inlineStr">
        <is>
          <t>Status</t>
        </is>
      </c>
      <c r="I3" s="31" t="inlineStr">
        <is>
          <t>Last Edited By</t>
        </is>
      </c>
      <c r="J3" s="31" t="inlineStr">
        <is>
          <t>Last Edited At</t>
        </is>
      </c>
      <c r="K3" s="31" t="inlineStr">
        <is>
          <t>Notes</t>
        </is>
      </c>
    </row>
    <row r="4" ht="18" customHeight="1">
      <c r="A4" s="32" t="n">
        <v>1</v>
      </c>
      <c r="B4" s="32" t="inlineStr">
        <is>
          <t>veena@example.com</t>
        </is>
      </c>
      <c r="C4" s="32" t="inlineStr">
        <is>
          <t>SSA/S2C</t>
        </is>
      </c>
      <c r="D4" s="32" t="inlineStr"/>
      <c r="E4" s="32" t="inlineStr"/>
      <c r="F4" s="32" t="inlineStr"/>
      <c r="G4" s="32" t="inlineStr"/>
      <c r="H4" s="32" t="inlineStr"/>
      <c r="I4" s="32" t="inlineStr"/>
      <c r="J4" s="32" t="inlineStr"/>
      <c r="K4" s="32" t="inlineStr"/>
    </row>
    <row r="5" ht="18" customHeight="1">
      <c r="A5" s="32" t="n">
        <v>2</v>
      </c>
      <c r="B5" s="32" t="inlineStr">
        <is>
          <t>prasanna@example.com</t>
        </is>
      </c>
      <c r="C5" s="32" t="inlineStr">
        <is>
          <t>SSA/HSP</t>
        </is>
      </c>
      <c r="D5" s="32" t="inlineStr"/>
      <c r="E5" s="32" t="inlineStr"/>
      <c r="F5" s="32" t="inlineStr"/>
      <c r="G5" s="32" t="inlineStr"/>
      <c r="H5" s="32" t="inlineStr"/>
      <c r="I5" s="32" t="inlineStr"/>
      <c r="J5" s="32" t="inlineStr"/>
      <c r="K5" s="32" t="inlineStr"/>
    </row>
    <row r="6" ht="18" customHeight="1">
      <c r="A6" s="32" t="n">
        <v>3</v>
      </c>
      <c r="B6" s="32" t="inlineStr">
        <is>
          <t>shyam@example.com</t>
        </is>
      </c>
      <c r="C6" s="32" t="inlineStr">
        <is>
          <t>SSA/ODI</t>
        </is>
      </c>
      <c r="D6" s="32" t="inlineStr"/>
      <c r="E6" s="32" t="inlineStr"/>
      <c r="F6" s="32" t="inlineStr"/>
      <c r="G6" s="32" t="inlineStr"/>
      <c r="H6" s="32" t="inlineStr"/>
      <c r="I6" s="32" t="inlineStr"/>
      <c r="J6" s="32" t="inlineStr"/>
      <c r="K6" s="32" t="inlineStr"/>
    </row>
    <row r="7" ht="18" customHeight="1">
      <c r="A7" s="32" t="n">
        <v>4</v>
      </c>
      <c r="B7" s="32" t="inlineStr">
        <is>
          <t>naveena@example.com</t>
        </is>
      </c>
      <c r="C7" s="32" t="inlineStr">
        <is>
          <t>SSA/RFP</t>
        </is>
      </c>
      <c r="D7" s="32" t="inlineStr"/>
      <c r="E7" s="32" t="inlineStr"/>
      <c r="F7" s="32" t="inlineStr"/>
      <c r="G7" s="32" t="inlineStr"/>
      <c r="H7" s="32" t="inlineStr"/>
      <c r="I7" s="32" t="inlineStr"/>
      <c r="J7" s="32" t="inlineStr"/>
      <c r="K7" s="32" t="inlineStr"/>
    </row>
    <row r="8" ht="18" customHeight="1">
      <c r="A8" s="32" t="n">
        <v>5</v>
      </c>
      <c r="B8" s="32" t="inlineStr">
        <is>
          <t>vignesh@example.com</t>
        </is>
      </c>
      <c r="C8" s="32" t="inlineStr">
        <is>
          <t>SSA/DLC</t>
        </is>
      </c>
      <c r="D8" s="32" t="inlineStr"/>
      <c r="E8" s="32" t="inlineStr"/>
      <c r="F8" s="32" t="inlineStr"/>
      <c r="G8" s="32" t="inlineStr"/>
      <c r="H8" s="32" t="inlineStr"/>
      <c r="I8" s="32" t="inlineStr"/>
      <c r="J8" s="32" t="inlineStr"/>
      <c r="K8" s="32" t="inlineStr"/>
    </row>
    <row r="9" ht="18" customHeight="1">
      <c r="A9" s="32" t="n">
        <v>6</v>
      </c>
      <c r="B9" s="32" t="inlineStr">
        <is>
          <t>varadha@example.com</t>
        </is>
      </c>
      <c r="C9" s="32" t="inlineStr">
        <is>
          <t>SSA/S2C</t>
        </is>
      </c>
      <c r="D9" s="32" t="inlineStr"/>
      <c r="E9" s="32" t="inlineStr"/>
      <c r="F9" s="32" t="inlineStr"/>
      <c r="G9" s="32" t="inlineStr"/>
      <c r="H9" s="32" t="inlineStr"/>
      <c r="I9" s="32" t="inlineStr"/>
      <c r="J9" s="32" t="inlineStr"/>
      <c r="K9" s="32" t="inlineStr"/>
    </row>
    <row r="10" ht="18" customHeight="1">
      <c r="A10" s="32" t="n">
        <v>7</v>
      </c>
      <c r="B10" s="32" t="inlineStr">
        <is>
          <t>saikumar@example.com</t>
        </is>
      </c>
      <c r="C10" s="32" t="inlineStr">
        <is>
          <t>SSA/CDAT</t>
        </is>
      </c>
      <c r="D10" s="32" t="inlineStr"/>
      <c r="E10" s="32" t="inlineStr"/>
      <c r="F10" s="32" t="inlineStr"/>
      <c r="G10" s="32" t="inlineStr"/>
      <c r="H10" s="32" t="inlineStr"/>
      <c r="I10" s="32" t="inlineStr"/>
      <c r="J10" s="32" t="inlineStr"/>
      <c r="K10" s="32" t="inlineStr"/>
    </row>
    <row r="11" ht="18" customHeight="1">
      <c r="A11" s="32" t="n">
        <v>8</v>
      </c>
      <c r="B11" s="32" t="inlineStr">
        <is>
          <t>gayathri@example.com</t>
        </is>
      </c>
      <c r="C11" s="32" t="inlineStr">
        <is>
          <t>Document Management</t>
        </is>
      </c>
      <c r="D11" s="32" t="inlineStr"/>
      <c r="E11" s="32" t="inlineStr"/>
      <c r="F11" s="32" t="inlineStr"/>
      <c r="G11" s="32" t="inlineStr"/>
      <c r="H11" s="32" t="inlineStr"/>
      <c r="I11" s="32" t="inlineStr"/>
      <c r="J11" s="32" t="inlineStr"/>
      <c r="K11" s="32" t="inlineStr"/>
    </row>
    <row r="12" ht="18" customHeight="1">
      <c r="A12" s="32" t="inlineStr"/>
      <c r="B12" s="32" t="inlineStr"/>
      <c r="C12" s="32" t="inlineStr"/>
      <c r="D12" s="32" t="inlineStr"/>
      <c r="E12" s="32" t="inlineStr"/>
      <c r="F12" s="32" t="inlineStr"/>
      <c r="G12" s="32" t="inlineStr"/>
      <c r="H12" s="32" t="inlineStr"/>
      <c r="I12" s="32" t="inlineStr"/>
      <c r="J12" s="32" t="inlineStr"/>
      <c r="K12" s="32" t="inlineStr"/>
    </row>
    <row r="13" ht="18" customHeight="1">
      <c r="A13" s="32" t="inlineStr"/>
      <c r="B13" s="32" t="inlineStr"/>
      <c r="C13" s="32" t="inlineStr"/>
      <c r="D13" s="32" t="inlineStr"/>
      <c r="E13" s="32" t="inlineStr"/>
      <c r="F13" s="32" t="inlineStr"/>
      <c r="G13" s="32" t="inlineStr"/>
      <c r="H13" s="32" t="inlineStr"/>
      <c r="I13" s="32" t="inlineStr"/>
      <c r="J13" s="32" t="inlineStr"/>
      <c r="K13" s="32" t="inlineStr"/>
    </row>
    <row r="14" ht="18" customHeight="1">
      <c r="A14" s="32" t="inlineStr"/>
      <c r="B14" s="32" t="inlineStr"/>
      <c r="C14" s="32" t="inlineStr"/>
      <c r="D14" s="32" t="inlineStr"/>
      <c r="E14" s="32" t="inlineStr"/>
      <c r="F14" s="32" t="inlineStr"/>
      <c r="G14" s="32" t="inlineStr"/>
      <c r="H14" s="32" t="inlineStr"/>
      <c r="I14" s="32" t="inlineStr"/>
      <c r="J14" s="32" t="inlineStr"/>
      <c r="K14" s="32" t="inlineStr"/>
    </row>
    <row r="15" ht="18" customHeight="1">
      <c r="A15" s="32" t="inlineStr"/>
      <c r="B15" s="32" t="inlineStr"/>
      <c r="C15" s="32" t="inlineStr"/>
      <c r="D15" s="32" t="inlineStr"/>
      <c r="E15" s="32" t="inlineStr"/>
      <c r="F15" s="32" t="inlineStr"/>
      <c r="G15" s="32" t="inlineStr"/>
      <c r="H15" s="32" t="inlineStr"/>
      <c r="I15" s="32" t="inlineStr"/>
      <c r="J15" s="32" t="inlineStr"/>
      <c r="K15" s="32" t="inlineStr"/>
    </row>
    <row r="16" ht="18" customHeight="1">
      <c r="A16" s="32" t="inlineStr"/>
      <c r="B16" s="32" t="inlineStr"/>
      <c r="C16" s="32" t="inlineStr"/>
      <c r="D16" s="32" t="inlineStr"/>
      <c r="E16" s="32" t="inlineStr"/>
      <c r="F16" s="32" t="inlineStr"/>
      <c r="G16" s="32" t="inlineStr"/>
      <c r="H16" s="32" t="inlineStr"/>
      <c r="I16" s="32" t="inlineStr"/>
      <c r="J16" s="32" t="inlineStr"/>
      <c r="K16" s="32" t="inlineStr"/>
    </row>
    <row r="17" ht="18" customHeight="1">
      <c r="A17" s="32" t="inlineStr"/>
      <c r="B17" s="32" t="inlineStr"/>
      <c r="C17" s="32" t="inlineStr"/>
      <c r="D17" s="32" t="inlineStr"/>
      <c r="E17" s="32" t="inlineStr"/>
      <c r="F17" s="32" t="inlineStr"/>
      <c r="G17" s="32" t="inlineStr"/>
      <c r="H17" s="32" t="inlineStr"/>
      <c r="I17" s="32" t="inlineStr"/>
      <c r="J17" s="32" t="inlineStr"/>
      <c r="K17" s="32" t="inlineStr"/>
    </row>
    <row r="18" ht="18" customHeight="1">
      <c r="A18" s="32" t="inlineStr"/>
      <c r="B18" s="32" t="inlineStr"/>
      <c r="C18" s="32" t="inlineStr"/>
      <c r="D18" s="32" t="inlineStr"/>
      <c r="E18" s="32" t="inlineStr"/>
      <c r="F18" s="32" t="inlineStr"/>
      <c r="G18" s="32" t="inlineStr"/>
      <c r="H18" s="32" t="inlineStr"/>
      <c r="I18" s="32" t="inlineStr"/>
      <c r="J18" s="32" t="inlineStr"/>
      <c r="K18" s="32" t="inlineStr"/>
    </row>
    <row r="19" ht="18" customHeight="1">
      <c r="A19" s="32" t="inlineStr"/>
      <c r="B19" s="32" t="inlineStr"/>
      <c r="C19" s="32" t="inlineStr"/>
      <c r="D19" s="32" t="inlineStr"/>
      <c r="E19" s="32" t="inlineStr"/>
      <c r="F19" s="32" t="inlineStr"/>
      <c r="G19" s="32" t="inlineStr"/>
      <c r="H19" s="32" t="inlineStr"/>
      <c r="I19" s="32" t="inlineStr"/>
      <c r="J19" s="32" t="inlineStr"/>
      <c r="K19" s="32" t="inlineStr"/>
    </row>
    <row r="20" ht="18" customHeight="1">
      <c r="A20" s="32" t="inlineStr"/>
      <c r="B20" s="32" t="inlineStr"/>
      <c r="C20" s="32" t="inlineStr"/>
      <c r="D20" s="32" t="inlineStr"/>
      <c r="E20" s="32" t="inlineStr"/>
      <c r="F20" s="32" t="inlineStr"/>
      <c r="G20" s="32" t="inlineStr"/>
      <c r="H20" s="32" t="inlineStr"/>
      <c r="I20" s="32" t="inlineStr"/>
      <c r="J20" s="32" t="inlineStr"/>
      <c r="K20" s="32" t="inlineStr"/>
    </row>
    <row r="21" ht="18" customHeight="1">
      <c r="A21" s="32" t="inlineStr"/>
      <c r="B21" s="32" t="inlineStr"/>
      <c r="C21" s="32" t="inlineStr"/>
      <c r="D21" s="32" t="inlineStr"/>
      <c r="E21" s="32" t="inlineStr"/>
      <c r="F21" s="32" t="inlineStr"/>
      <c r="G21" s="32" t="inlineStr"/>
      <c r="H21" s="32" t="inlineStr"/>
      <c r="I21" s="32" t="inlineStr"/>
      <c r="J21" s="32" t="inlineStr"/>
      <c r="K21" s="32" t="inlineStr"/>
    </row>
    <row r="22" ht="18" customHeight="1">
      <c r="A22" s="32" t="inlineStr"/>
      <c r="B22" s="32" t="inlineStr"/>
      <c r="C22" s="32" t="inlineStr"/>
      <c r="D22" s="32" t="inlineStr"/>
      <c r="E22" s="32" t="inlineStr"/>
      <c r="F22" s="32" t="inlineStr"/>
      <c r="G22" s="32" t="inlineStr"/>
      <c r="H22" s="32" t="inlineStr"/>
      <c r="I22" s="32" t="inlineStr"/>
      <c r="J22" s="32" t="inlineStr"/>
      <c r="K22" s="32" t="inlineStr"/>
    </row>
    <row r="23" ht="18" customHeight="1">
      <c r="A23" s="32" t="inlineStr"/>
      <c r="B23" s="32" t="inlineStr"/>
      <c r="C23" s="32" t="inlineStr"/>
      <c r="D23" s="32" t="inlineStr"/>
      <c r="E23" s="32" t="inlineStr"/>
      <c r="F23" s="32" t="inlineStr"/>
      <c r="G23" s="32" t="inlineStr"/>
      <c r="H23" s="32" t="inlineStr"/>
      <c r="I23" s="32" t="inlineStr"/>
      <c r="J23" s="32" t="inlineStr"/>
      <c r="K23" s="32" t="inlineStr"/>
    </row>
    <row r="24" ht="18" customHeight="1">
      <c r="A24" s="32" t="inlineStr"/>
      <c r="B24" s="32" t="inlineStr"/>
      <c r="C24" s="32" t="inlineStr"/>
      <c r="D24" s="32" t="inlineStr"/>
      <c r="E24" s="32" t="inlineStr"/>
      <c r="F24" s="32" t="inlineStr"/>
      <c r="G24" s="32" t="inlineStr"/>
      <c r="H24" s="32" t="inlineStr"/>
      <c r="I24" s="32" t="inlineStr"/>
      <c r="J24" s="32" t="inlineStr"/>
      <c r="K24" s="32" t="inlineStr"/>
    </row>
    <row r="25" ht="18" customHeight="1">
      <c r="A25" s="32" t="inlineStr"/>
      <c r="B25" s="32" t="inlineStr"/>
      <c r="C25" s="32" t="inlineStr"/>
      <c r="D25" s="32" t="inlineStr"/>
      <c r="E25" s="32" t="inlineStr"/>
      <c r="F25" s="32" t="inlineStr"/>
      <c r="G25" s="32" t="inlineStr"/>
      <c r="H25" s="32" t="inlineStr"/>
      <c r="I25" s="32" t="inlineStr"/>
      <c r="J25" s="32" t="inlineStr"/>
      <c r="K25" s="32" t="inlineStr"/>
    </row>
    <row r="26" ht="18" customHeight="1">
      <c r="A26" s="32" t="inlineStr"/>
      <c r="B26" s="32" t="inlineStr"/>
      <c r="C26" s="32" t="inlineStr"/>
      <c r="D26" s="32" t="inlineStr"/>
      <c r="E26" s="32" t="inlineStr"/>
      <c r="F26" s="32" t="inlineStr"/>
      <c r="G26" s="32" t="inlineStr"/>
      <c r="H26" s="32" t="inlineStr"/>
      <c r="I26" s="32" t="inlineStr"/>
      <c r="J26" s="32" t="inlineStr"/>
      <c r="K26" s="32" t="inlineStr"/>
    </row>
    <row r="27" ht="18" customHeight="1">
      <c r="A27" s="32" t="inlineStr"/>
      <c r="B27" s="32" t="inlineStr"/>
      <c r="C27" s="32" t="inlineStr"/>
      <c r="D27" s="32" t="inlineStr"/>
      <c r="E27" s="32" t="inlineStr"/>
      <c r="F27" s="32" t="inlineStr"/>
      <c r="G27" s="32" t="inlineStr"/>
      <c r="H27" s="32" t="inlineStr"/>
      <c r="I27" s="32" t="inlineStr"/>
      <c r="J27" s="32" t="inlineStr"/>
      <c r="K27" s="32" t="inlineStr"/>
    </row>
    <row r="28" ht="18" customHeight="1">
      <c r="A28" s="32" t="inlineStr"/>
      <c r="B28" s="32" t="inlineStr"/>
      <c r="C28" s="32" t="inlineStr"/>
      <c r="D28" s="32" t="inlineStr"/>
      <c r="E28" s="32" t="inlineStr"/>
      <c r="F28" s="32" t="inlineStr"/>
      <c r="G28" s="32" t="inlineStr"/>
      <c r="H28" s="32" t="inlineStr"/>
      <c r="I28" s="32" t="inlineStr"/>
      <c r="J28" s="32" t="inlineStr"/>
      <c r="K28" s="32" t="inlineStr"/>
    </row>
    <row r="29" ht="18" customHeight="1">
      <c r="A29" s="32" t="inlineStr"/>
      <c r="B29" s="32" t="inlineStr"/>
      <c r="C29" s="32" t="inlineStr"/>
      <c r="D29" s="32" t="inlineStr"/>
      <c r="E29" s="32" t="inlineStr"/>
      <c r="F29" s="32" t="inlineStr"/>
      <c r="G29" s="32" t="inlineStr"/>
      <c r="H29" s="32" t="inlineStr"/>
      <c r="I29" s="32" t="inlineStr"/>
      <c r="J29" s="32" t="inlineStr"/>
      <c r="K29" s="32" t="inlineStr"/>
    </row>
    <row r="30" ht="18" customHeight="1">
      <c r="A30" s="32" t="inlineStr"/>
      <c r="B30" s="32" t="inlineStr"/>
      <c r="C30" s="32" t="inlineStr"/>
      <c r="D30" s="32" t="inlineStr"/>
      <c r="E30" s="32" t="inlineStr"/>
      <c r="F30" s="32" t="inlineStr"/>
      <c r="G30" s="32" t="inlineStr"/>
      <c r="H30" s="32" t="inlineStr"/>
      <c r="I30" s="32" t="inlineStr"/>
      <c r="J30" s="32" t="inlineStr"/>
      <c r="K30" s="32" t="inlineStr"/>
    </row>
    <row r="31" ht="18" customHeight="1">
      <c r="A31" s="32" t="inlineStr"/>
      <c r="B31" s="32" t="inlineStr"/>
      <c r="C31" s="32" t="inlineStr"/>
      <c r="D31" s="32" t="inlineStr"/>
      <c r="E31" s="32" t="inlineStr"/>
      <c r="F31" s="32" t="inlineStr"/>
      <c r="G31" s="32" t="inlineStr"/>
      <c r="H31" s="32" t="inlineStr"/>
      <c r="I31" s="32" t="inlineStr"/>
      <c r="J31" s="32" t="inlineStr"/>
      <c r="K31" s="32" t="inlineStr"/>
    </row>
  </sheetData>
  <autoFilter ref="A3:K31"/>
  <mergeCells count="2">
    <mergeCell ref="A2:K2"/>
    <mergeCell ref="A1:K1"/>
  </mergeCells>
  <conditionalFormatting sqref="H4:H31">
    <cfRule type="containsText" priority="1" operator="containsText" dxfId="0" text="Passed">
      <formula>NOT(ISERROR(SEARCH("Passed",H4)))</formula>
    </cfRule>
    <cfRule type="containsText" priority="2" operator="containsText" dxfId="1" text="Completed">
      <formula>NOT(ISERROR(SEARCH("Completed",H4)))</formula>
    </cfRule>
    <cfRule type="containsText" priority="3" operator="containsText" dxfId="2" text="In Progress">
      <formula>NOT(ISERROR(SEARCH("In Progress",H4)))</formula>
    </cfRule>
    <cfRule type="containsText" priority="4" operator="containsText" dxfId="3" text="Failed">
      <formula>NOT(ISERROR(SEARCH("Failed",H4)))</formula>
    </cfRule>
    <cfRule type="containsText" priority="5" operator="containsText" dxfId="4" text="Blocked">
      <formula>NOT(ISERROR(SEARCH("Blocked",H4)))</formula>
    </cfRule>
    <cfRule type="containsText" priority="6" operator="containsText" dxfId="5" text="Connectivity Failing">
      <formula>NOT(ISERROR(SEARCH("Connectivity Failing",H4)))</formula>
    </cfRule>
    <cfRule type="containsText" priority="7" operator="containsText" dxfId="6" text="Not Started">
      <formula>NOT(ISERROR(SEARCH("Not Started",H4)))</formula>
    </cfRule>
  </conditionalFormatting>
  <dataValidations count="1">
    <dataValidation sqref="H4:H31" showDropDown="0" showInputMessage="0" showErrorMessage="1" allowBlank="0" errorTitle="Invalid Status" error="Please choose a value from the list." type="list">
      <formula1>"Not Started,In Progress,Completed,Passed,Failed,Blocked,Connectivity Failing"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7860B"/>
    <outlinePr summaryBelow="1" summaryRight="1"/>
    <pageSetUpPr/>
  </sheetPr>
  <dimension ref="A1:E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40" customWidth="1" min="4" max="4"/>
    <col width="8" customWidth="1" min="5" max="5"/>
  </cols>
  <sheetData>
    <row r="1" ht="28" customHeight="1">
      <c r="A1" s="24" t="inlineStr">
        <is>
          <t>Team Roster  |  April 2026</t>
        </is>
      </c>
    </row>
    <row r="2" ht="18" customHeight="1">
      <c r="A2" s="2" t="inlineStr">
        <is>
          <t>Full team assignments for DSP Manual, DSP Automation, SSA, and Upload tracks.</t>
        </is>
      </c>
    </row>
    <row r="3" ht="20" customHeight="1">
      <c r="A3" s="33" t="inlineStr">
        <is>
          <t>#</t>
        </is>
      </c>
      <c r="B3" s="33" t="inlineStr">
        <is>
          <t>Name</t>
        </is>
      </c>
      <c r="C3" s="33" t="inlineStr">
        <is>
          <t>Track</t>
        </is>
      </c>
      <c r="D3" s="33" t="inlineStr">
        <is>
          <t>Modules / Assignment</t>
        </is>
      </c>
      <c r="E3" s="33" t="inlineStr">
        <is>
          <t>ENV</t>
        </is>
      </c>
    </row>
    <row r="4" ht="18" customHeight="1">
      <c r="A4" s="34" t="n">
        <v>1</v>
      </c>
      <c r="B4" s="34" t="inlineStr">
        <is>
          <t>Kalpana</t>
        </is>
      </c>
      <c r="C4" s="34" t="inlineStr">
        <is>
          <t>DSP Manual</t>
        </is>
      </c>
      <c r="D4" s="34" t="inlineStr">
        <is>
          <t>SI (PT)</t>
        </is>
      </c>
      <c r="E4" s="34" t="inlineStr">
        <is>
          <t>PT</t>
        </is>
      </c>
    </row>
    <row r="5" ht="18" customHeight="1">
      <c r="A5" s="34" t="n">
        <v>2</v>
      </c>
      <c r="B5" s="34" t="inlineStr">
        <is>
          <t>Swati</t>
        </is>
      </c>
      <c r="C5" s="34" t="inlineStr">
        <is>
          <t>DSP Manual</t>
        </is>
      </c>
      <c r="D5" s="34" t="inlineStr">
        <is>
          <t>SI (UAT)</t>
        </is>
      </c>
      <c r="E5" s="34" t="inlineStr">
        <is>
          <t>UAT</t>
        </is>
      </c>
    </row>
    <row r="6" ht="18" customHeight="1">
      <c r="A6" s="34" t="n">
        <v>3</v>
      </c>
      <c r="B6" s="34" t="inlineStr">
        <is>
          <t>Harshitha</t>
        </is>
      </c>
      <c r="C6" s="34" t="inlineStr">
        <is>
          <t>DSP Manual</t>
        </is>
      </c>
      <c r="D6" s="34" t="inlineStr">
        <is>
          <t>AMS (PT)</t>
        </is>
      </c>
      <c r="E6" s="34" t="inlineStr">
        <is>
          <t>PT</t>
        </is>
      </c>
    </row>
    <row r="7" ht="18" customHeight="1">
      <c r="A7" s="34" t="n">
        <v>4</v>
      </c>
      <c r="B7" s="34" t="inlineStr">
        <is>
          <t>Nayak</t>
        </is>
      </c>
      <c r="C7" s="34" t="inlineStr">
        <is>
          <t>DSP Manual</t>
        </is>
      </c>
      <c r="D7" s="34" t="inlineStr">
        <is>
          <t>AMS (UAT)</t>
        </is>
      </c>
      <c r="E7" s="34" t="inlineStr">
        <is>
          <t>UAT</t>
        </is>
      </c>
    </row>
    <row r="8" ht="18" customHeight="1">
      <c r="A8" s="34" t="n">
        <v>5</v>
      </c>
      <c r="B8" s="34" t="inlineStr">
        <is>
          <t>Reshma</t>
        </is>
      </c>
      <c r="C8" s="34" t="inlineStr">
        <is>
          <t>DSP Manual</t>
        </is>
      </c>
      <c r="D8" s="34" t="inlineStr">
        <is>
          <t>BPMS (PT)</t>
        </is>
      </c>
      <c r="E8" s="34" t="inlineStr">
        <is>
          <t>PT</t>
        </is>
      </c>
    </row>
    <row r="9" ht="18" customHeight="1">
      <c r="A9" s="34" t="n">
        <v>6</v>
      </c>
      <c r="B9" s="34" t="inlineStr">
        <is>
          <t>Sushmetha</t>
        </is>
      </c>
      <c r="C9" s="34" t="inlineStr">
        <is>
          <t>DSP Manual</t>
        </is>
      </c>
      <c r="D9" s="34" t="inlineStr">
        <is>
          <t>BPMS (UAT)</t>
        </is>
      </c>
      <c r="E9" s="34" t="inlineStr">
        <is>
          <t>UAT</t>
        </is>
      </c>
    </row>
    <row r="10" ht="18" customHeight="1">
      <c r="A10" s="34" t="n">
        <v>7</v>
      </c>
      <c r="B10" s="34" t="inlineStr">
        <is>
          <t>Sai kumar</t>
        </is>
      </c>
      <c r="C10" s="34" t="inlineStr">
        <is>
          <t>DSP Manual</t>
        </is>
      </c>
      <c r="D10" s="34" t="inlineStr">
        <is>
          <t>IMS (PT)</t>
        </is>
      </c>
      <c r="E10" s="34" t="inlineStr">
        <is>
          <t>PT</t>
        </is>
      </c>
    </row>
    <row r="11" ht="18" customHeight="1">
      <c r="A11" s="34" t="n">
        <v>8</v>
      </c>
      <c r="B11" s="34" t="inlineStr">
        <is>
          <t>Naveen A</t>
        </is>
      </c>
      <c r="C11" s="34" t="inlineStr">
        <is>
          <t>DSP Manual / SSA</t>
        </is>
      </c>
      <c r="D11" s="34" t="inlineStr">
        <is>
          <t>IMS (UAT) / RFP</t>
        </is>
      </c>
      <c r="E11" s="34" t="inlineStr">
        <is>
          <t>UAT</t>
        </is>
      </c>
    </row>
    <row r="12" ht="18" customHeight="1">
      <c r="A12" s="35" t="n">
        <v>9</v>
      </c>
      <c r="B12" s="35" t="inlineStr">
        <is>
          <t>Haritha</t>
        </is>
      </c>
      <c r="C12" s="35" t="inlineStr">
        <is>
          <t>DSP Automation</t>
        </is>
      </c>
      <c r="D12" s="35" t="inlineStr">
        <is>
          <t>SI (PT)</t>
        </is>
      </c>
      <c r="E12" s="35" t="inlineStr">
        <is>
          <t>PT</t>
        </is>
      </c>
    </row>
    <row r="13" ht="18" customHeight="1">
      <c r="A13" s="35" t="n">
        <v>10</v>
      </c>
      <c r="B13" s="35" t="inlineStr">
        <is>
          <t>Prasanna</t>
        </is>
      </c>
      <c r="C13" s="35" t="inlineStr">
        <is>
          <t>DSP Automation / SSA</t>
        </is>
      </c>
      <c r="D13" s="35" t="inlineStr">
        <is>
          <t>SI (UAT) / HSP</t>
        </is>
      </c>
      <c r="E13" s="35" t="inlineStr">
        <is>
          <t>UAT</t>
        </is>
      </c>
    </row>
    <row r="14" ht="18" customHeight="1">
      <c r="A14" s="35" t="n">
        <v>11</v>
      </c>
      <c r="B14" s="35" t="inlineStr">
        <is>
          <t>Pratik</t>
        </is>
      </c>
      <c r="C14" s="35" t="inlineStr">
        <is>
          <t>DSP Automation</t>
        </is>
      </c>
      <c r="D14" s="35" t="inlineStr">
        <is>
          <t>AMS (PT)</t>
        </is>
      </c>
      <c r="E14" s="35" t="inlineStr">
        <is>
          <t>PT</t>
        </is>
      </c>
    </row>
    <row r="15" ht="18" customHeight="1">
      <c r="A15" s="35" t="n">
        <v>12</v>
      </c>
      <c r="B15" s="35" t="inlineStr">
        <is>
          <t>HariPriya</t>
        </is>
      </c>
      <c r="C15" s="35" t="inlineStr">
        <is>
          <t>DSP Automation</t>
        </is>
      </c>
      <c r="D15" s="35" t="inlineStr">
        <is>
          <t>AMS (UAT)</t>
        </is>
      </c>
      <c r="E15" s="35" t="inlineStr">
        <is>
          <t>UAT</t>
        </is>
      </c>
    </row>
    <row r="16" ht="18" customHeight="1">
      <c r="A16" s="35" t="n">
        <v>13</v>
      </c>
      <c r="B16" s="35" t="inlineStr">
        <is>
          <t>Varadha</t>
        </is>
      </c>
      <c r="C16" s="35" t="inlineStr">
        <is>
          <t>DSP Automation / SSA</t>
        </is>
      </c>
      <c r="D16" s="35" t="inlineStr">
        <is>
          <t>BPMS (PT) / S2C</t>
        </is>
      </c>
      <c r="E16" s="35" t="inlineStr">
        <is>
          <t>PT</t>
        </is>
      </c>
    </row>
    <row r="17" ht="18" customHeight="1">
      <c r="A17" s="35" t="n">
        <v>14</v>
      </c>
      <c r="B17" s="35" t="inlineStr">
        <is>
          <t>Narmatha</t>
        </is>
      </c>
      <c r="C17" s="35" t="inlineStr">
        <is>
          <t>DSP Automation</t>
        </is>
      </c>
      <c r="D17" s="35" t="inlineStr">
        <is>
          <t>BPMS (UAT)</t>
        </is>
      </c>
      <c r="E17" s="35" t="inlineStr">
        <is>
          <t>UAT</t>
        </is>
      </c>
    </row>
    <row r="18" ht="18" customHeight="1">
      <c r="A18" s="35" t="n">
        <v>15</v>
      </c>
      <c r="B18" s="35" t="inlineStr">
        <is>
          <t>Saikumar</t>
        </is>
      </c>
      <c r="C18" s="35" t="inlineStr">
        <is>
          <t>DSP Automation / SSA</t>
        </is>
      </c>
      <c r="D18" s="35" t="inlineStr">
        <is>
          <t>IMS (PT) / CDAT</t>
        </is>
      </c>
      <c r="E18" s="35" t="inlineStr">
        <is>
          <t>PT</t>
        </is>
      </c>
    </row>
    <row r="19" ht="18" customHeight="1">
      <c r="A19" s="36" t="n">
        <v>16</v>
      </c>
      <c r="B19" s="36" t="inlineStr">
        <is>
          <t>Veena</t>
        </is>
      </c>
      <c r="C19" s="36" t="inlineStr">
        <is>
          <t>SSA</t>
        </is>
      </c>
      <c r="D19" s="36" t="inlineStr">
        <is>
          <t>S2C</t>
        </is>
      </c>
      <c r="E19" s="36" t="inlineStr"/>
    </row>
    <row r="20" ht="18" customHeight="1">
      <c r="A20" s="36" t="n">
        <v>17</v>
      </c>
      <c r="B20" s="36" t="inlineStr">
        <is>
          <t>Shyam</t>
        </is>
      </c>
      <c r="C20" s="36" t="inlineStr">
        <is>
          <t>SSA</t>
        </is>
      </c>
      <c r="D20" s="36" t="inlineStr">
        <is>
          <t>ODI</t>
        </is>
      </c>
      <c r="E20" s="36" t="inlineStr"/>
    </row>
    <row r="21" ht="18" customHeight="1">
      <c r="A21" s="36" t="n">
        <v>18</v>
      </c>
      <c r="B21" s="36" t="inlineStr">
        <is>
          <t>Vignesh</t>
        </is>
      </c>
      <c r="C21" s="36" t="inlineStr">
        <is>
          <t>SSA</t>
        </is>
      </c>
      <c r="D21" s="36" t="inlineStr">
        <is>
          <t>DLC</t>
        </is>
      </c>
      <c r="E21" s="36" t="inlineStr"/>
    </row>
    <row r="22" ht="18" customHeight="1">
      <c r="A22" s="36" t="n">
        <v>19</v>
      </c>
      <c r="B22" s="36" t="inlineStr">
        <is>
          <t>Gayathri</t>
        </is>
      </c>
      <c r="C22" s="36" t="inlineStr">
        <is>
          <t>SSA</t>
        </is>
      </c>
      <c r="D22" s="36" t="inlineStr">
        <is>
          <t>Document Management</t>
        </is>
      </c>
      <c r="E22" s="36" t="inlineStr"/>
    </row>
    <row r="23" ht="18" customHeight="1">
      <c r="A23" s="29" t="n">
        <v>20</v>
      </c>
      <c r="B23" s="29" t="inlineStr">
        <is>
          <t>Jabben</t>
        </is>
      </c>
      <c r="C23" s="29" t="inlineStr">
        <is>
          <t>Upload</t>
        </is>
      </c>
      <c r="D23" s="29" t="inlineStr">
        <is>
          <t>AMS, SI (PT)</t>
        </is>
      </c>
      <c r="E23" s="29" t="inlineStr">
        <is>
          <t>PT</t>
        </is>
      </c>
    </row>
    <row r="24" ht="18" customHeight="1">
      <c r="A24" s="29" t="n">
        <v>21</v>
      </c>
      <c r="B24" s="29" t="inlineStr">
        <is>
          <t>NAVYA</t>
        </is>
      </c>
      <c r="C24" s="29" t="inlineStr">
        <is>
          <t>Upload</t>
        </is>
      </c>
      <c r="D24" s="29" t="inlineStr">
        <is>
          <t>AMS, SI (UAT)</t>
        </is>
      </c>
      <c r="E24" s="29" t="inlineStr">
        <is>
          <t>UAT</t>
        </is>
      </c>
    </row>
    <row r="25" ht="18" customHeight="1">
      <c r="A25" s="29" t="n">
        <v>22</v>
      </c>
      <c r="B25" s="29" t="inlineStr">
        <is>
          <t>Komal</t>
        </is>
      </c>
      <c r="C25" s="29" t="inlineStr">
        <is>
          <t>Upload</t>
        </is>
      </c>
      <c r="D25" s="29" t="inlineStr">
        <is>
          <t>IMS, BPMS (PT)</t>
        </is>
      </c>
      <c r="E25" s="29" t="inlineStr">
        <is>
          <t>PT</t>
        </is>
      </c>
    </row>
    <row r="26" ht="18" customHeight="1">
      <c r="A26" s="29" t="n">
        <v>23</v>
      </c>
      <c r="B26" s="29" t="inlineStr">
        <is>
          <t>Aruna</t>
        </is>
      </c>
      <c r="C26" s="29" t="inlineStr">
        <is>
          <t>Upload</t>
        </is>
      </c>
      <c r="D26" s="29" t="inlineStr">
        <is>
          <t>IMS, BPMS (UAT)</t>
        </is>
      </c>
      <c r="E26" s="29" t="inlineStr">
        <is>
          <t>UAT</t>
        </is>
      </c>
    </row>
  </sheetData>
  <autoFilter ref="A3:E26"/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59E0B"/>
    <outlinePr summaryBelow="1" summaryRight="1"/>
    <pageSetUpPr/>
  </sheetPr>
  <dimension ref="A1:A30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2" customHeight="1">
      <c r="A1" s="37" t="inlineStr">
        <is>
          <t>DSP &amp; SSA E2E Tracker — How To Use</t>
        </is>
      </c>
    </row>
    <row r="2" ht="18" customHeight="1">
      <c r="A2" s="38" t="inlineStr"/>
    </row>
    <row r="3" ht="18" customHeight="1">
      <c r="A3" s="39" t="inlineStr">
        <is>
          <t>SHEET OVERVIEW</t>
        </is>
      </c>
    </row>
    <row r="4" ht="18" customHeight="1">
      <c r="A4" s="38" t="inlineStr">
        <is>
          <t>• DSP_Manual    — Track DSP Manual Testing per tester, env (PT/UAT), SG, and Deal ID.</t>
        </is>
      </c>
    </row>
    <row r="5" ht="18" customHeight="1">
      <c r="A5" s="38" t="inlineStr">
        <is>
          <t>• DSP_Auto      — Same structure for DSP Automation Testing.</t>
        </is>
      </c>
    </row>
    <row r="6" ht="18" customHeight="1">
      <c r="A6" s="38" t="inlineStr">
        <is>
          <t>• SSA_GenAI     — Track SSA/GenAI module testing with up to 4 Deal IDs per row.</t>
        </is>
      </c>
    </row>
    <row r="7" ht="18" customHeight="1">
      <c r="A7" s="38" t="inlineStr">
        <is>
          <t>• Team_Data     — Reference roster of all team members and their assignments.</t>
        </is>
      </c>
    </row>
    <row r="8" ht="18" customHeight="1">
      <c r="A8" s="38" t="inlineStr">
        <is>
          <t>• Summary_Dashboard — Live KPI table with COUNTIFS formulas + % Done progress bar.</t>
        </is>
      </c>
    </row>
    <row r="9" ht="18" customHeight="1">
      <c r="A9" s="38" t="inlineStr"/>
    </row>
    <row r="10" ht="18" customHeight="1">
      <c r="A10" s="39" t="inlineStr">
        <is>
          <t>EDITING DATA</t>
        </is>
      </c>
    </row>
    <row r="11" ht="18" customHeight="1">
      <c r="A11" s="38" t="inlineStr">
        <is>
          <t>• Click any cell in a data row to edit. Status, ENV, and SG columns have dropdown lists.</t>
        </is>
      </c>
    </row>
    <row r="12" ht="18" customHeight="1">
      <c r="A12" s="38" t="inlineStr">
        <is>
          <t>• Use the Status dropdown: Not Started / In Progress / Completed / Passed / Failed / Blocked / Connectivity Failing</t>
        </is>
      </c>
    </row>
    <row r="13" ht="18" customHeight="1">
      <c r="A13" s="38" t="inlineStr">
        <is>
          <t>• ENV dropdown: PT (Pre-Testing), UAT (User Acceptance Testing).</t>
        </is>
      </c>
    </row>
    <row r="14" ht="18" customHeight="1">
      <c r="A14" s="38" t="inlineStr">
        <is>
          <t>• SG dropdown: SI, AMS, BPMS, IMS.</t>
        </is>
      </c>
    </row>
    <row r="15" ht="18" customHeight="1">
      <c r="A15" s="38" t="inlineStr">
        <is>
          <t>• Add new rows at the bottom of any data section (pre-styled empty rows provided).</t>
        </is>
      </c>
    </row>
    <row r="16" ht="18" customHeight="1">
      <c r="A16" s="38" t="inlineStr"/>
    </row>
    <row r="17" ht="18" customHeight="1">
      <c r="A17" s="39" t="inlineStr">
        <is>
          <t>COLOUR CODING</t>
        </is>
      </c>
    </row>
    <row r="18" ht="18" customHeight="1">
      <c r="A18" s="38" t="inlineStr">
        <is>
          <t>• PT rows  — Light blue background.</t>
        </is>
      </c>
    </row>
    <row r="19" ht="18" customHeight="1">
      <c r="A19" s="38" t="inlineStr">
        <is>
          <t>• UAT rows — Light amber background.</t>
        </is>
      </c>
    </row>
    <row r="20" ht="18" customHeight="1">
      <c r="A20" s="38" t="inlineStr">
        <is>
          <t>• Status cells are automatically colour-coded via conditional formatting.</t>
        </is>
      </c>
    </row>
    <row r="21" ht="18" customHeight="1">
      <c r="A21" s="38" t="inlineStr"/>
    </row>
    <row r="22" ht="18" customHeight="1">
      <c r="A22" s="39" t="inlineStr">
        <is>
          <t>SUMMARY DASHBOARD</t>
        </is>
      </c>
    </row>
    <row r="23" ht="18" customHeight="1">
      <c r="A23" s="38" t="inlineStr">
        <is>
          <t>• The Summary_Dashboard sheet uses COUNTIFS formulas to count statuses in each sheet.</t>
        </is>
      </c>
    </row>
    <row r="24" ht="18" customHeight="1">
      <c r="A24" s="38" t="inlineStr">
        <is>
          <t>• % Done = (Passed + Completed) / Total × 100, shown with a green data-bar.</t>
        </is>
      </c>
    </row>
    <row r="25" ht="18" customHeight="1">
      <c r="A25" s="38" t="inlineStr"/>
    </row>
    <row r="26" ht="18" customHeight="1">
      <c r="A26" s="39" t="inlineStr">
        <is>
          <t>TIPS</t>
        </is>
      </c>
    </row>
    <row r="27" ht="18" customHeight="1">
      <c r="A27" s="38" t="inlineStr">
        <is>
          <t>• Press Ctrl+Shift+L to toggle auto-filter on any sheet.</t>
        </is>
      </c>
    </row>
    <row r="28" ht="18" customHeight="1">
      <c r="A28" s="38" t="inlineStr">
        <is>
          <t>• Use Ctrl+F to search within a sheet.</t>
        </is>
      </c>
    </row>
    <row r="29" ht="18" customHeight="1">
      <c r="A29" s="38" t="inlineStr">
        <is>
          <t>• DO NOT delete or rename sheets — the Summary formulas reference them by name.</t>
        </is>
      </c>
    </row>
    <row r="30" ht="18" customHeight="1">
      <c r="A30" s="38" t="inlineStr">
        <is>
          <t>• Save as .xlsx (Excel Workbook) to preserve all formatting and validations.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2026-04-02T10:39:33Z</dcterms:created>
  <dcterms:modified xsi:type="dcterms:W3CDTF">2026-04-02T10:39:33Z</dcterms:modified>
</cp:coreProperties>
</file>