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\e2e-dashboard\"/>
    </mc:Choice>
  </mc:AlternateContent>
  <xr:revisionPtr revIDLastSave="0" documentId="13_ncr:1_{9F244CBF-4250-4014-88AD-910303876C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2E_Tracker" sheetId="1" r:id="rId1"/>
    <sheet name="Summary_Dashboard" sheetId="2" r:id="rId2"/>
    <sheet name="Team_Data" sheetId="3" state="hidden" r:id="rId3"/>
    <sheet name="How_To_Use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F9" i="2"/>
  <c r="E9" i="2"/>
  <c r="D9" i="2"/>
  <c r="C9" i="2"/>
  <c r="B9" i="2"/>
  <c r="H9" i="2" s="1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H8" i="2" l="1"/>
  <c r="H7" i="2"/>
  <c r="H6" i="2"/>
  <c r="H5" i="2"/>
</calcChain>
</file>

<file path=xl/sharedStrings.xml><?xml version="1.0" encoding="utf-8"?>
<sst xmlns="http://schemas.openxmlformats.org/spreadsheetml/2006/main" count="321" uniqueCount="145">
  <si>
    <t>DSP &amp; SSA  —  E2E Testing Tracker  |  May 2026</t>
  </si>
  <si>
    <t>PT Manual: 0012518935   |   PT Auto: 0012518952   |   UAT Manual: 0012511117   |   UAT Auto: 0012511127</t>
  </si>
  <si>
    <t xml:space="preserve">  ◈  SECTION 1 — DSP MANUAL TESTING OPPORTUNITIES</t>
  </si>
  <si>
    <t xml:space="preserve">  ▶  PT  (Pre-Testing)     Deal ID: 0012518935</t>
  </si>
  <si>
    <t>#</t>
  </si>
  <si>
    <t>Tester</t>
  </si>
  <si>
    <t>Module</t>
  </si>
  <si>
    <t>ENV</t>
  </si>
  <si>
    <t>SG</t>
  </si>
  <si>
    <t>Deal ID</t>
  </si>
  <si>
    <t>Status</t>
  </si>
  <si>
    <t>Comments</t>
  </si>
  <si>
    <t>Last Edited By</t>
  </si>
  <si>
    <t>Last Edited At</t>
  </si>
  <si>
    <t>Notes</t>
  </si>
  <si>
    <t>Kalpana</t>
  </si>
  <si>
    <t>DSP</t>
  </si>
  <si>
    <t>PT</t>
  </si>
  <si>
    <t>SI</t>
  </si>
  <si>
    <t>0012518935</t>
  </si>
  <si>
    <t>Harshitha</t>
  </si>
  <si>
    <t>AMS</t>
  </si>
  <si>
    <t>Reshma</t>
  </si>
  <si>
    <t>BPMS</t>
  </si>
  <si>
    <t>Sai kumar</t>
  </si>
  <si>
    <t>IMS</t>
  </si>
  <si>
    <t xml:space="preserve">  ▶  UAT  (User Acceptance Testing)     Deal ID: 0012511117</t>
  </si>
  <si>
    <t>Swati</t>
  </si>
  <si>
    <t>UAT</t>
  </si>
  <si>
    <t>0012511117</t>
  </si>
  <si>
    <t>Nayak</t>
  </si>
  <si>
    <t>Sushmetha</t>
  </si>
  <si>
    <t>Naveen A</t>
  </si>
  <si>
    <t xml:space="preserve">  ◈  SECTION 2 — DSP AUTOMATION TESTING OPPORTUNITIES</t>
  </si>
  <si>
    <t xml:space="preserve">  ▶  PT  (Pre-Testing)     Deal ID: 0012518952</t>
  </si>
  <si>
    <t>Haritha</t>
  </si>
  <si>
    <t>0012518952</t>
  </si>
  <si>
    <t>Pratik</t>
  </si>
  <si>
    <t>Varadha</t>
  </si>
  <si>
    <t>Saikumar</t>
  </si>
  <si>
    <t xml:space="preserve">  ▶  UAT  (User Acceptance Testing)     Deal ID: 0012511127</t>
  </si>
  <si>
    <t>Prasanna</t>
  </si>
  <si>
    <t>0012511127</t>
  </si>
  <si>
    <t>HariPriya</t>
  </si>
  <si>
    <t>Narmatha</t>
  </si>
  <si>
    <t xml:space="preserve">  ◈  SECTION 3 — SSA / GenAI MODULE TESTING</t>
  </si>
  <si>
    <t xml:space="preserve">  ⚠  Ensure configuration is applied to ALL deals before marking Passed/Completed.</t>
  </si>
  <si>
    <t>Module / Feature</t>
  </si>
  <si>
    <t>Deal ID 1</t>
  </si>
  <si>
    <t>Deal ID 2</t>
  </si>
  <si>
    <t>Deal ID 3</t>
  </si>
  <si>
    <t>Deal ID 4</t>
  </si>
  <si>
    <t>SSA/RFP</t>
  </si>
  <si>
    <t>SSA/HSP</t>
  </si>
  <si>
    <t>SSA/S2C</t>
  </si>
  <si>
    <t>SSA/CDAT</t>
  </si>
  <si>
    <t>Veena</t>
  </si>
  <si>
    <t>Shyam</t>
  </si>
  <si>
    <t>SSA/ODI</t>
  </si>
  <si>
    <t>Vignesh</t>
  </si>
  <si>
    <t>SSA/DLC</t>
  </si>
  <si>
    <t>Gayathri</t>
  </si>
  <si>
    <t>Document Management</t>
  </si>
  <si>
    <t>DSP &amp; SSA — E2E Testing Summary Dashboard  |  May 2026</t>
  </si>
  <si>
    <t>PT Manual: 0012518935  |  PT Auto: 0012518952  |  UAT Manual: 0012511117  |  UAT Auto: 0012511127</t>
  </si>
  <si>
    <t>Section</t>
  </si>
  <si>
    <t>Total</t>
  </si>
  <si>
    <t>Passed</t>
  </si>
  <si>
    <t>Completed</t>
  </si>
  <si>
    <t>In Progress</t>
  </si>
  <si>
    <t>Failed/Blocked</t>
  </si>
  <si>
    <t>Not Started</t>
  </si>
  <si>
    <t>% Done</t>
  </si>
  <si>
    <t>DSP Manual — PT</t>
  </si>
  <si>
    <t>DSP Manual — UAT</t>
  </si>
  <si>
    <t>DSP Auto — PT</t>
  </si>
  <si>
    <t>DSP Auto — UAT</t>
  </si>
  <si>
    <t>SSA / GenAI</t>
  </si>
  <si>
    <t>Status Colour Legend</t>
  </si>
  <si>
    <t>Failed</t>
  </si>
  <si>
    <t>Blocked</t>
  </si>
  <si>
    <t>Connectivity Failing</t>
  </si>
  <si>
    <t>Team Roster  |  May 2026</t>
  </si>
  <si>
    <t>Full team assignments for DSP Manual, DSP Automation, SSA, and Upload tracks.</t>
  </si>
  <si>
    <t xml:space="preserve">  ▶  PT  —  Pre-Testing</t>
  </si>
  <si>
    <t>Name</t>
  </si>
  <si>
    <t>Track</t>
  </si>
  <si>
    <t>Modules / Assignment</t>
  </si>
  <si>
    <t>DSP Manual</t>
  </si>
  <si>
    <t>SI (PT)</t>
  </si>
  <si>
    <t>AMS (PT)</t>
  </si>
  <si>
    <t>BPMS (PT)</t>
  </si>
  <si>
    <t>IMS (PT)</t>
  </si>
  <si>
    <t>DSP Automation</t>
  </si>
  <si>
    <t>DSP Automation / SSA</t>
  </si>
  <si>
    <t>BPMS (PT)  /  S2C</t>
  </si>
  <si>
    <t>IMS (PT)  /  CDAT</t>
  </si>
  <si>
    <t>Jabben</t>
  </si>
  <si>
    <t>Upload</t>
  </si>
  <si>
    <t>Komal</t>
  </si>
  <si>
    <t xml:space="preserve">  ▶  UAT  —  User Acceptance Testing</t>
  </si>
  <si>
    <t>SI (UAT)</t>
  </si>
  <si>
    <t>AMS (UAT)</t>
  </si>
  <si>
    <t>BPMS (UAT)</t>
  </si>
  <si>
    <t>DSP Manual / SSA</t>
  </si>
  <si>
    <t>IMS (UAT)  /  RFP</t>
  </si>
  <si>
    <t>SI (UAT)  /  HSP</t>
  </si>
  <si>
    <t>NAVYA</t>
  </si>
  <si>
    <t>Aruna</t>
  </si>
  <si>
    <t>IMS (UAT)</t>
  </si>
  <si>
    <t xml:space="preserve">  ▶  SSA / No Specific ENV</t>
  </si>
  <si>
    <t>SSA</t>
  </si>
  <si>
    <t>S2C</t>
  </si>
  <si>
    <t>ODI</t>
  </si>
  <si>
    <t>DLC</t>
  </si>
  <si>
    <t>DSP &amp; SSA E2E Tracker — How To Use</t>
  </si>
  <si>
    <t>SHEET OVERVIEW</t>
  </si>
  <si>
    <t>• E2E_Tracker       — Single combined sheet: DSP Manual (PT+UAT), DSP Auto (PT+UAT), SSA/GenAI.</t>
  </si>
  <si>
    <t>• Summary_Dashboard — Live KPI table with COUNTIFS formulas + % Done progress bars.</t>
  </si>
  <si>
    <t>• Team_Data         — Reference roster of all team members and their assignments.</t>
  </si>
  <si>
    <t>DEAL IDs — MAY 2026 RELEASE</t>
  </si>
  <si>
    <t xml:space="preserve">  PT  Manual  → 0012518935</t>
  </si>
  <si>
    <t xml:space="preserve">  PT  Auto    → 0012518952</t>
  </si>
  <si>
    <t xml:space="preserve">  UAT Manual  → 0012511117</t>
  </si>
  <si>
    <t xml:space="preserve">  UAT Auto    → 0012511127</t>
  </si>
  <si>
    <t>EDITING DATA</t>
  </si>
  <si>
    <t>• Scroll down the E2E_Tracker sheet — sections are clearly labelled with dark banners.</t>
  </si>
  <si>
    <t>• Status, ENV, and SG columns have dropdown lists — click the cell to see the arrow.</t>
  </si>
  <si>
    <t>• Statuses: Not Started / In Progress / Completed / Passed / Failed / Blocked / Connectivity Failing</t>
  </si>
  <si>
    <t>• ENV dropdown: PT (Pre-Testing), UAT (User Acceptance Testing).</t>
  </si>
  <si>
    <t>• SG dropdown: SI, AMS, BPMS, IMS.</t>
  </si>
  <si>
    <t>• 10 empty buffer rows are pre-styled at the bottom of each env block for new entries.</t>
  </si>
  <si>
    <t>COLOUR CODING</t>
  </si>
  <si>
    <t>• PT rows  — Light blue background.</t>
  </si>
  <si>
    <t>• UAT rows — Light amber background.</t>
  </si>
  <si>
    <t>• Status cells are automatically colour-coded via conditional formatting.</t>
  </si>
  <si>
    <t>SUMMARY DASHBOARD</t>
  </si>
  <si>
    <t>• Uses COUNTIFS formulas pointing at exact row ranges in E2E_Tracker.</t>
  </si>
  <si>
    <t>• % Done = (Passed + Completed) / Total × 100, shown with a green data-bar.</t>
  </si>
  <si>
    <t>• Summary refreshes automatically — no manual update needed.</t>
  </si>
  <si>
    <t>TIPS</t>
  </si>
  <si>
    <t>• Use Ctrl+F to search within the E2E_Tracker sheet.</t>
  </si>
  <si>
    <t>• Don't rename the E2E_Tracker sheet — the Summary formulas reference it by name.</t>
  </si>
  <si>
    <t>• Save as .xlsx to preserve all formatting, dropdowns, and conditional formatting.</t>
  </si>
  <si>
    <t>Santhwana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</si>
</sst>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8" x14ac:knownFonts="1">
    <font>
      <sz val="11"/>
      <color theme="1"/>
      <name val="Calibri"/>
      <family val="2"/>
      <scheme val="minor"/>
    </font>
    <font>
      <b/>
      <sz val="14"/>
      <color rgb="FF22C55E"/>
      <name val="Segoe UI"/>
    </font>
    <font>
      <i/>
      <sz val="10"/>
      <color rgb="FF8892A4"/>
      <name val="Segoe UI"/>
    </font>
    <font>
      <b/>
      <sz val="12"/>
      <color rgb="FFFFFFFF"/>
      <name val="Segoe UI"/>
    </font>
    <font>
      <b/>
      <sz val="11"/>
      <color rgb="FF000000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i/>
      <sz val="10"/>
      <color rgb="FF7D5A00"/>
      <name val="Segoe UI"/>
    </font>
    <font>
      <b/>
      <sz val="15"/>
      <color rgb="FF22C55E"/>
      <name val="Segoe UI"/>
    </font>
    <font>
      <b/>
      <sz val="10"/>
      <color rgb="FF000000"/>
      <name val="Segoe UI"/>
    </font>
    <font>
      <b/>
      <sz val="10"/>
      <color rgb="FF276221"/>
      <name val="Segoe UI"/>
    </font>
    <font>
      <b/>
      <sz val="11"/>
      <color rgb="FFFFFFFF"/>
      <name val="Segoe UI"/>
    </font>
    <font>
      <b/>
      <sz val="10"/>
      <color rgb="FF7D5A00"/>
      <name val="Segoe UI"/>
    </font>
    <font>
      <b/>
      <sz val="10"/>
      <color rgb="FF820014"/>
      <name val="Segoe UI"/>
    </font>
    <font>
      <b/>
      <sz val="10"/>
      <color rgb="FF9E006B"/>
      <name val="Segoe UI"/>
    </font>
    <font>
      <b/>
      <sz val="10"/>
      <color rgb="FF595959"/>
      <name val="Segoe UI"/>
    </font>
    <font>
      <b/>
      <sz val="16"/>
      <color rgb="FF22C55E"/>
      <name val="Segoe UI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D0F18"/>
      </patternFill>
    </fill>
    <fill>
      <patternFill patternType="solid">
        <fgColor rgb="FF1A1F2E"/>
      </patternFill>
    </fill>
    <fill>
      <patternFill patternType="solid">
        <fgColor rgb="FF1A3A5C"/>
      </patternFill>
    </fill>
    <fill>
      <patternFill patternType="solid">
        <fgColor rgb="FFC5E8FF"/>
      </patternFill>
    </fill>
    <fill>
      <patternFill patternType="solid">
        <fgColor rgb="FFE6F7FF"/>
      </patternFill>
    </fill>
    <fill>
      <patternFill patternType="solid">
        <fgColor rgb="FFFFE8B2"/>
      </patternFill>
    </fill>
    <fill>
      <patternFill patternType="solid">
        <fgColor rgb="FFFFF7E6"/>
      </patternFill>
    </fill>
    <fill>
      <patternFill patternType="solid">
        <fgColor rgb="FF1A3C1E"/>
      </patternFill>
    </fill>
    <fill>
      <patternFill patternType="solid">
        <fgColor rgb="FF2D1A4A"/>
      </patternFill>
    </fill>
    <fill>
      <patternFill patternType="solid">
        <fgColor rgb="FFFFFBE6"/>
      </patternFill>
    </fill>
    <fill>
      <patternFill patternType="solid">
        <fgColor rgb="FFFFFFFF"/>
      </patternFill>
    </fill>
    <fill>
      <patternFill patternType="solid">
        <fgColor rgb="FF1A2A3A"/>
      </patternFill>
    </fill>
    <fill>
      <patternFill patternType="solid">
        <fgColor rgb="FFF5F5F5"/>
      </patternFill>
    </fill>
    <fill>
      <patternFill patternType="solid">
        <fgColor rgb="FFD9F7BE"/>
      </patternFill>
    </fill>
    <fill>
      <patternFill patternType="solid">
        <fgColor rgb="FFB7EB8F"/>
      </patternFill>
    </fill>
    <fill>
      <patternFill patternType="solid">
        <fgColor rgb="FFFFE58F"/>
      </patternFill>
    </fill>
    <fill>
      <patternFill patternType="solid">
        <fgColor rgb="FFFFCCC7"/>
      </patternFill>
    </fill>
    <fill>
      <patternFill patternType="solid">
        <fgColor rgb="FFF0F0F0"/>
      </patternFill>
    </fill>
    <fill>
      <patternFill patternType="solid">
        <fgColor rgb="FFE9F5E9"/>
      </patternFill>
    </fill>
    <fill>
      <patternFill patternType="solid">
        <fgColor rgb="FFFFA39E"/>
      </patternFill>
    </fill>
    <fill>
      <patternFill patternType="solid">
        <fgColor rgb="FFFFD6E7"/>
      </patternFill>
    </fill>
    <fill>
      <patternFill patternType="solid">
        <fgColor rgb="FF2A2A0D"/>
      </patternFill>
    </fill>
    <fill>
      <patternFill patternType="solid">
        <fgColor rgb="FFD6E4FF"/>
      </patternFill>
    </fill>
    <fill>
      <patternFill patternType="solid">
        <fgColor rgb="FFEFDBFF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164" fontId="10" fillId="20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25" borderId="1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left" vertical="center" wrapText="1"/>
    </xf>
    <xf numFmtId="0" fontId="11" fillId="13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/>
    </xf>
    <xf numFmtId="0" fontId="0" fillId="0" borderId="0" xfId="0"/>
    <xf numFmtId="0" fontId="4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0" fillId="0" borderId="2" xfId="0" applyBorder="1"/>
    <xf numFmtId="0" fontId="13" fillId="21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4" fillId="25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</cellXfs>
  <cellStyles count="1">
    <cellStyle name="Normal" xfId="0" builtinId="0"/>
  </cellStyles>
  <dxfs count="35">
    <dxf>
      <font>
        <b/>
        <color rgb="FF595959"/>
        <name val="Segoe UI"/>
      </font>
      <fill>
        <patternFill patternType="solid">
          <fgColor rgb="FFF0F0F0"/>
        </patternFill>
      </fill>
    </dxf>
    <dxf>
      <font>
        <b/>
        <color rgb="FF9E006B"/>
        <name val="Segoe UI"/>
      </font>
      <fill>
        <patternFill patternType="solid">
          <fgColor rgb="FFFFD6E7"/>
        </patternFill>
      </fill>
    </dxf>
    <dxf>
      <font>
        <b/>
        <color rgb="FF820014"/>
        <name val="Segoe UI"/>
      </font>
      <fill>
        <patternFill patternType="solid">
          <fgColor rgb="FFFFA39E"/>
        </patternFill>
      </fill>
    </dxf>
    <dxf>
      <font>
        <b/>
        <color rgb="FF820014"/>
        <name val="Segoe UI"/>
      </font>
      <fill>
        <patternFill patternType="solid">
          <fgColor rgb="FFFFCCC7"/>
        </patternFill>
      </fill>
    </dxf>
    <dxf>
      <font>
        <b/>
        <color rgb="FF7D5A00"/>
        <name val="Segoe UI"/>
      </font>
      <fill>
        <patternFill patternType="solid">
          <fgColor rgb="FFFFE58F"/>
        </patternFill>
      </fill>
    </dxf>
    <dxf>
      <font>
        <b/>
        <color rgb="FF276221"/>
        <name val="Segoe UI"/>
      </font>
      <fill>
        <patternFill patternType="solid">
          <fgColor rgb="FFB7EB8F"/>
        </patternFill>
      </fill>
    </dxf>
    <dxf>
      <font>
        <b/>
        <color rgb="FF276221"/>
        <name val="Segoe UI"/>
      </font>
      <fill>
        <patternFill patternType="solid">
          <fgColor rgb="FFD9F7BE"/>
        </patternFill>
      </fill>
    </dxf>
    <dxf>
      <font>
        <b/>
        <color rgb="FF595959"/>
        <name val="Segoe UI"/>
      </font>
      <fill>
        <patternFill patternType="solid">
          <fgColor rgb="FFF0F0F0"/>
        </patternFill>
      </fill>
    </dxf>
    <dxf>
      <font>
        <b/>
        <color rgb="FF9E006B"/>
        <name val="Segoe UI"/>
      </font>
      <fill>
        <patternFill patternType="solid">
          <fgColor rgb="FFFFD6E7"/>
        </patternFill>
      </fill>
    </dxf>
    <dxf>
      <font>
        <b/>
        <color rgb="FF820014"/>
        <name val="Segoe UI"/>
      </font>
      <fill>
        <patternFill patternType="solid">
          <fgColor rgb="FFFFA39E"/>
        </patternFill>
      </fill>
    </dxf>
    <dxf>
      <font>
        <b/>
        <color rgb="FF820014"/>
        <name val="Segoe UI"/>
      </font>
      <fill>
        <patternFill patternType="solid">
          <fgColor rgb="FFFFCCC7"/>
        </patternFill>
      </fill>
    </dxf>
    <dxf>
      <font>
        <b/>
        <color rgb="FF7D5A00"/>
        <name val="Segoe UI"/>
      </font>
      <fill>
        <patternFill patternType="solid">
          <fgColor rgb="FFFFE58F"/>
        </patternFill>
      </fill>
    </dxf>
    <dxf>
      <font>
        <b/>
        <color rgb="FF276221"/>
        <name val="Segoe UI"/>
      </font>
      <fill>
        <patternFill patternType="solid">
          <fgColor rgb="FFB7EB8F"/>
        </patternFill>
      </fill>
    </dxf>
    <dxf>
      <font>
        <b/>
        <color rgb="FF276221"/>
        <name val="Segoe UI"/>
      </font>
      <fill>
        <patternFill patternType="solid">
          <fgColor rgb="FFD9F7BE"/>
        </patternFill>
      </fill>
    </dxf>
    <dxf>
      <font>
        <b/>
        <color rgb="FF595959"/>
        <name val="Segoe UI"/>
      </font>
      <fill>
        <patternFill patternType="solid">
          <fgColor rgb="FFF0F0F0"/>
        </patternFill>
      </fill>
    </dxf>
    <dxf>
      <font>
        <b/>
        <color rgb="FF9E006B"/>
        <name val="Segoe UI"/>
      </font>
      <fill>
        <patternFill patternType="solid">
          <fgColor rgb="FFFFD6E7"/>
        </patternFill>
      </fill>
    </dxf>
    <dxf>
      <font>
        <b/>
        <color rgb="FF820014"/>
        <name val="Segoe UI"/>
      </font>
      <fill>
        <patternFill patternType="solid">
          <fgColor rgb="FFFFA39E"/>
        </patternFill>
      </fill>
    </dxf>
    <dxf>
      <font>
        <b/>
        <color rgb="FF820014"/>
        <name val="Segoe UI"/>
      </font>
      <fill>
        <patternFill patternType="solid">
          <fgColor rgb="FFFFCCC7"/>
        </patternFill>
      </fill>
    </dxf>
    <dxf>
      <font>
        <b/>
        <color rgb="FF7D5A00"/>
        <name val="Segoe UI"/>
      </font>
      <fill>
        <patternFill patternType="solid">
          <fgColor rgb="FFFFE58F"/>
        </patternFill>
      </fill>
    </dxf>
    <dxf>
      <font>
        <b/>
        <color rgb="FF276221"/>
        <name val="Segoe UI"/>
      </font>
      <fill>
        <patternFill patternType="solid">
          <fgColor rgb="FFB7EB8F"/>
        </patternFill>
      </fill>
    </dxf>
    <dxf>
      <font>
        <b/>
        <color rgb="FF276221"/>
        <name val="Segoe UI"/>
      </font>
      <fill>
        <patternFill patternType="solid">
          <fgColor rgb="FFD9F7BE"/>
        </patternFill>
      </fill>
    </dxf>
    <dxf>
      <font>
        <b/>
        <color rgb="FF595959"/>
        <name val="Segoe UI"/>
      </font>
      <fill>
        <patternFill patternType="solid">
          <fgColor rgb="FFF0F0F0"/>
        </patternFill>
      </fill>
    </dxf>
    <dxf>
      <font>
        <b/>
        <color rgb="FF9E006B"/>
        <name val="Segoe UI"/>
      </font>
      <fill>
        <patternFill patternType="solid">
          <fgColor rgb="FFFFD6E7"/>
        </patternFill>
      </fill>
    </dxf>
    <dxf>
      <font>
        <b/>
        <color rgb="FF820014"/>
        <name val="Segoe UI"/>
      </font>
      <fill>
        <patternFill patternType="solid">
          <fgColor rgb="FFFFA39E"/>
        </patternFill>
      </fill>
    </dxf>
    <dxf>
      <font>
        <b/>
        <color rgb="FF820014"/>
        <name val="Segoe UI"/>
      </font>
      <fill>
        <patternFill patternType="solid">
          <fgColor rgb="FFFFCCC7"/>
        </patternFill>
      </fill>
    </dxf>
    <dxf>
      <font>
        <b/>
        <color rgb="FF7D5A00"/>
        <name val="Segoe UI"/>
      </font>
      <fill>
        <patternFill patternType="solid">
          <fgColor rgb="FFFFE58F"/>
        </patternFill>
      </fill>
    </dxf>
    <dxf>
      <font>
        <b/>
        <color rgb="FF276221"/>
        <name val="Segoe UI"/>
      </font>
      <fill>
        <patternFill patternType="solid">
          <fgColor rgb="FFB7EB8F"/>
        </patternFill>
      </fill>
    </dxf>
    <dxf>
      <font>
        <b/>
        <color rgb="FF276221"/>
        <name val="Segoe UI"/>
      </font>
      <fill>
        <patternFill patternType="solid">
          <fgColor rgb="FFD9F7BE"/>
        </patternFill>
      </fill>
    </dxf>
    <dxf>
      <font>
        <b/>
        <color rgb="FF595959"/>
        <name val="Segoe UI"/>
      </font>
      <fill>
        <patternFill patternType="solid">
          <fgColor rgb="FFF0F0F0"/>
        </patternFill>
      </fill>
    </dxf>
    <dxf>
      <font>
        <b/>
        <color rgb="FF9E006B"/>
        <name val="Segoe UI"/>
      </font>
      <fill>
        <patternFill patternType="solid">
          <fgColor rgb="FFFFD6E7"/>
        </patternFill>
      </fill>
    </dxf>
    <dxf>
      <font>
        <b/>
        <color rgb="FF820014"/>
        <name val="Segoe UI"/>
      </font>
      <fill>
        <patternFill patternType="solid">
          <fgColor rgb="FFFFA39E"/>
        </patternFill>
      </fill>
    </dxf>
    <dxf>
      <font>
        <b/>
        <color rgb="FF820014"/>
        <name val="Segoe UI"/>
      </font>
      <fill>
        <patternFill patternType="solid">
          <fgColor rgb="FFFFCCC7"/>
        </patternFill>
      </fill>
    </dxf>
    <dxf>
      <font>
        <b/>
        <color rgb="FF7D5A00"/>
        <name val="Segoe UI"/>
      </font>
      <fill>
        <patternFill patternType="solid">
          <fgColor rgb="FFFFE58F"/>
        </patternFill>
      </fill>
    </dxf>
    <dxf>
      <font>
        <b/>
        <color rgb="FF276221"/>
        <name val="Segoe UI"/>
      </font>
      <fill>
        <patternFill patternType="solid">
          <fgColor rgb="FFB7EB8F"/>
        </patternFill>
      </fill>
    </dxf>
    <dxf>
      <font>
        <b/>
        <color rgb="FF276221"/>
        <name val="Segoe UI"/>
      </font>
      <fill>
        <patternFill patternType="solid">
          <fgColor rgb="FFD9F7B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2C55E"/>
  </sheetPr>
  <dimension ref="A1:K94"/>
  <sheetViews>
    <sheetView showGridLines="0" tabSelected="1" workbookViewId="0">
      <pane ySplit="5" topLeftCell="A6" activePane="bottomLeft" state="frozen"/>
      <selection pane="bottomLeft" activeCell="J5" sqref="J5"/>
    </sheetView>
  </sheetViews>
  <sheetFormatPr defaultRowHeight="15" x14ac:dyDescent="0.25"/>
  <cols>
    <col min="1" max="1" width="4" customWidth="1"/>
    <col min="2" max="2" width="28" customWidth="1"/>
    <col min="3" max="3" width="24" customWidth="1"/>
    <col min="4" max="7" width="14" customWidth="1"/>
    <col min="8" max="9" width="22" customWidth="1"/>
    <col min="10" max="10" width="18" customWidth="1"/>
    <col min="11" max="11" width="28" customWidth="1"/>
  </cols>
  <sheetData>
    <row r="1" spans="1:11" ht="30" customHeight="1" x14ac:dyDescent="0.25">
      <c r="A1" s="33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 x14ac:dyDescent="0.25">
      <c r="A2" s="31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24" customHeight="1" x14ac:dyDescent="0.25">
      <c r="A3" s="28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 ht="21.95" customHeight="1" x14ac:dyDescent="0.25">
      <c r="A4" s="27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 ht="20.100000000000001" customHeigh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1" ht="18" customHeight="1" x14ac:dyDescent="0.25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/>
      <c r="H6" s="2"/>
      <c r="I6" s="2"/>
      <c r="J6" s="2"/>
      <c r="K6" s="2"/>
    </row>
    <row r="7" spans="1:11" ht="18" customHeight="1" x14ac:dyDescent="0.25">
      <c r="A7" s="2">
        <v>2</v>
      </c>
      <c r="B7" s="2" t="s">
        <v>20</v>
      </c>
      <c r="C7" s="2" t="s">
        <v>16</v>
      </c>
      <c r="D7" s="2" t="s">
        <v>17</v>
      </c>
      <c r="E7" s="2" t="s">
        <v>23</v>
      </c>
      <c r="F7" s="2" t="s">
        <v>19</v>
      </c>
      <c r="G7" s="2"/>
      <c r="H7" s="2"/>
      <c r="I7" s="2"/>
      <c r="J7" s="2"/>
      <c r="K7" s="2"/>
    </row>
    <row r="8" spans="1:11" ht="18" customHeight="1" x14ac:dyDescent="0.25">
      <c r="A8" s="2">
        <v>3</v>
      </c>
      <c r="B8" s="2" t="s">
        <v>22</v>
      </c>
      <c r="C8" s="2" t="s">
        <v>16</v>
      </c>
      <c r="D8" s="2" t="s">
        <v>17</v>
      </c>
      <c r="E8" s="2" t="s">
        <v>25</v>
      </c>
      <c r="F8" s="2" t="s">
        <v>19</v>
      </c>
      <c r="G8" s="2"/>
      <c r="H8" s="2"/>
      <c r="I8" s="2"/>
      <c r="J8" s="2"/>
      <c r="K8" s="2"/>
    </row>
    <row r="9" spans="1:11" ht="18" customHeight="1" x14ac:dyDescent="0.25">
      <c r="A9" s="2">
        <v>4</v>
      </c>
      <c r="B9" s="2" t="s">
        <v>24</v>
      </c>
      <c r="C9" s="2" t="s">
        <v>16</v>
      </c>
      <c r="D9" s="2" t="s">
        <v>17</v>
      </c>
      <c r="E9" s="2" t="s">
        <v>21</v>
      </c>
      <c r="F9" s="2" t="s">
        <v>19</v>
      </c>
      <c r="G9" s="2"/>
      <c r="H9" s="2"/>
      <c r="I9" s="2"/>
      <c r="J9" s="2"/>
      <c r="K9" s="2"/>
    </row>
    <row r="10" spans="1:11" ht="15.9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9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9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9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1" spans="1:11" ht="21.95" customHeight="1" x14ac:dyDescent="0.25">
      <c r="A21" s="29" t="s">
        <v>26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1:11" ht="20.100000000000001" customHeight="1" x14ac:dyDescent="0.25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  <c r="G22" s="1" t="s">
        <v>10</v>
      </c>
      <c r="H22" s="1" t="s">
        <v>11</v>
      </c>
      <c r="I22" s="1" t="s">
        <v>12</v>
      </c>
      <c r="J22" s="1" t="s">
        <v>13</v>
      </c>
      <c r="K22" s="1" t="s">
        <v>14</v>
      </c>
    </row>
    <row r="23" spans="1:11" ht="18" customHeight="1" x14ac:dyDescent="0.25">
      <c r="A23" s="3">
        <v>1</v>
      </c>
      <c r="B23" s="3" t="s">
        <v>27</v>
      </c>
      <c r="C23" s="3" t="s">
        <v>16</v>
      </c>
      <c r="D23" s="3" t="s">
        <v>28</v>
      </c>
      <c r="E23" s="3" t="s">
        <v>25</v>
      </c>
      <c r="F23" s="3" t="s">
        <v>29</v>
      </c>
      <c r="G23" s="3"/>
      <c r="H23" s="3"/>
      <c r="I23" s="3"/>
      <c r="J23" s="3"/>
      <c r="K23" s="3"/>
    </row>
    <row r="24" spans="1:11" ht="18" customHeight="1" x14ac:dyDescent="0.25">
      <c r="A24" s="3">
        <v>2</v>
      </c>
      <c r="B24" s="3" t="s">
        <v>30</v>
      </c>
      <c r="C24" s="3" t="s">
        <v>16</v>
      </c>
      <c r="D24" s="3" t="s">
        <v>28</v>
      </c>
      <c r="E24" s="3" t="s">
        <v>21</v>
      </c>
      <c r="F24" s="3" t="s">
        <v>29</v>
      </c>
      <c r="G24" s="3"/>
      <c r="H24" s="3"/>
      <c r="I24" s="3"/>
      <c r="J24" s="3"/>
      <c r="K24" s="3"/>
    </row>
    <row r="25" spans="1:11" ht="18" customHeight="1" x14ac:dyDescent="0.25">
      <c r="A25" s="3">
        <v>3</v>
      </c>
      <c r="B25" s="3" t="s">
        <v>31</v>
      </c>
      <c r="C25" s="3" t="s">
        <v>16</v>
      </c>
      <c r="D25" s="3" t="s">
        <v>28</v>
      </c>
      <c r="E25" s="3" t="s">
        <v>18</v>
      </c>
      <c r="F25" s="3" t="s">
        <v>29</v>
      </c>
      <c r="G25" s="3"/>
      <c r="H25" s="3"/>
      <c r="I25" s="3"/>
      <c r="J25" s="3"/>
      <c r="K25" s="3"/>
    </row>
    <row r="26" spans="1:11" ht="18" customHeight="1" x14ac:dyDescent="0.25">
      <c r="A26" s="3">
        <v>4</v>
      </c>
      <c r="B26" s="3" t="s">
        <v>32</v>
      </c>
      <c r="C26" s="3" t="s">
        <v>16</v>
      </c>
      <c r="D26" s="3" t="s">
        <v>28</v>
      </c>
      <c r="E26" s="3" t="s">
        <v>23</v>
      </c>
      <c r="F26" s="3" t="s">
        <v>29</v>
      </c>
      <c r="G26" s="3"/>
      <c r="H26" s="3"/>
      <c r="I26" s="3"/>
      <c r="J26" s="3"/>
      <c r="K26" s="3"/>
    </row>
    <row r="27" spans="1:11" ht="15.9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5.9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.9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5.9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5.9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5.9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.9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.9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9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9" spans="1:11" ht="24" customHeight="1" x14ac:dyDescent="0.25">
      <c r="A39" s="30" t="s">
        <v>33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1:11" ht="21.95" customHeight="1" x14ac:dyDescent="0.25">
      <c r="A40" s="27" t="s">
        <v>34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1" ht="20.100000000000001" customHeight="1" x14ac:dyDescent="0.25">
      <c r="A41" s="4" t="s">
        <v>4</v>
      </c>
      <c r="B41" s="4" t="s">
        <v>5</v>
      </c>
      <c r="C41" s="4" t="s">
        <v>6</v>
      </c>
      <c r="D41" s="4" t="s">
        <v>7</v>
      </c>
      <c r="E41" s="4" t="s">
        <v>8</v>
      </c>
      <c r="F41" s="4" t="s">
        <v>9</v>
      </c>
      <c r="G41" s="4" t="s">
        <v>10</v>
      </c>
      <c r="H41" s="4" t="s">
        <v>11</v>
      </c>
      <c r="I41" s="4" t="s">
        <v>12</v>
      </c>
      <c r="J41" s="4" t="s">
        <v>13</v>
      </c>
      <c r="K41" s="4" t="s">
        <v>14</v>
      </c>
    </row>
    <row r="42" spans="1:11" ht="18" customHeight="1" x14ac:dyDescent="0.25">
      <c r="A42" s="2">
        <v>1</v>
      </c>
      <c r="B42" s="2" t="s">
        <v>35</v>
      </c>
      <c r="C42" s="2" t="s">
        <v>16</v>
      </c>
      <c r="D42" s="2" t="s">
        <v>17</v>
      </c>
      <c r="E42" s="2" t="s">
        <v>18</v>
      </c>
      <c r="F42" s="2" t="s">
        <v>36</v>
      </c>
      <c r="G42" s="2"/>
      <c r="H42" s="2"/>
      <c r="I42" s="2"/>
      <c r="J42" s="2"/>
      <c r="K42" s="2"/>
    </row>
    <row r="43" spans="1:11" ht="18" customHeight="1" x14ac:dyDescent="0.25">
      <c r="A43" s="2">
        <v>2</v>
      </c>
      <c r="B43" s="2" t="s">
        <v>37</v>
      </c>
      <c r="C43" s="2" t="s">
        <v>16</v>
      </c>
      <c r="D43" s="2" t="s">
        <v>17</v>
      </c>
      <c r="E43" s="2" t="s">
        <v>25</v>
      </c>
      <c r="F43" s="2" t="s">
        <v>36</v>
      </c>
      <c r="G43" s="2"/>
      <c r="H43" s="2"/>
      <c r="I43" s="2"/>
      <c r="J43" s="2"/>
      <c r="K43" s="2"/>
    </row>
    <row r="44" spans="1:11" ht="18" customHeight="1" x14ac:dyDescent="0.25">
      <c r="A44" s="2">
        <v>3</v>
      </c>
      <c r="B44" s="2" t="s">
        <v>38</v>
      </c>
      <c r="C44" s="2" t="s">
        <v>16</v>
      </c>
      <c r="D44" s="2" t="s">
        <v>17</v>
      </c>
      <c r="E44" s="2" t="s">
        <v>21</v>
      </c>
      <c r="F44" s="2" t="s">
        <v>36</v>
      </c>
      <c r="G44" s="2"/>
      <c r="H44" s="2"/>
      <c r="I44" s="2"/>
      <c r="J44" s="2"/>
      <c r="K44" s="2"/>
    </row>
    <row r="45" spans="1:11" ht="18" customHeight="1" x14ac:dyDescent="0.25">
      <c r="A45" s="2">
        <v>4</v>
      </c>
      <c r="B45" s="2" t="s">
        <v>39</v>
      </c>
      <c r="C45" s="2" t="s">
        <v>16</v>
      </c>
      <c r="D45" s="2" t="s">
        <v>17</v>
      </c>
      <c r="E45" s="2" t="s">
        <v>23</v>
      </c>
      <c r="F45" s="2" t="s">
        <v>36</v>
      </c>
      <c r="G45" s="2"/>
      <c r="H45" s="2"/>
      <c r="I45" s="2"/>
      <c r="J45" s="2"/>
      <c r="K45" s="2"/>
    </row>
    <row r="46" spans="1:11" ht="15.9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9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9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9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9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9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9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9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9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9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7" spans="1:11" ht="21.95" customHeight="1" x14ac:dyDescent="0.25">
      <c r="A57" s="29" t="s">
        <v>40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20.100000000000001" customHeight="1" x14ac:dyDescent="0.25">
      <c r="A58" s="4" t="s">
        <v>4</v>
      </c>
      <c r="B58" s="4" t="s">
        <v>5</v>
      </c>
      <c r="C58" s="4" t="s">
        <v>6</v>
      </c>
      <c r="D58" s="4" t="s">
        <v>7</v>
      </c>
      <c r="E58" s="4" t="s">
        <v>8</v>
      </c>
      <c r="F58" s="4" t="s">
        <v>9</v>
      </c>
      <c r="G58" s="4" t="s">
        <v>10</v>
      </c>
      <c r="H58" s="4" t="s">
        <v>11</v>
      </c>
      <c r="I58" s="4" t="s">
        <v>12</v>
      </c>
      <c r="J58" s="4" t="s">
        <v>13</v>
      </c>
      <c r="K58" s="4" t="s">
        <v>14</v>
      </c>
    </row>
    <row r="59" spans="1:11" ht="18" customHeight="1" x14ac:dyDescent="0.25">
      <c r="A59" s="3">
        <v>1</v>
      </c>
      <c r="B59" s="3" t="s">
        <v>41</v>
      </c>
      <c r="C59" s="3" t="s">
        <v>16</v>
      </c>
      <c r="D59" s="3" t="s">
        <v>28</v>
      </c>
      <c r="E59" s="3" t="s">
        <v>18</v>
      </c>
      <c r="F59" s="3" t="s">
        <v>42</v>
      </c>
      <c r="G59" s="3"/>
      <c r="H59" s="3"/>
      <c r="I59" s="3"/>
      <c r="J59" s="3"/>
      <c r="K59" s="3"/>
    </row>
    <row r="60" spans="1:11" ht="18" customHeight="1" x14ac:dyDescent="0.25">
      <c r="A60" s="3">
        <v>2</v>
      </c>
      <c r="B60" s="3" t="s">
        <v>144</v>
      </c>
      <c r="C60" s="3" t="s">
        <v>16</v>
      </c>
      <c r="D60" s="3" t="s">
        <v>28</v>
      </c>
      <c r="E60" s="3" t="s">
        <v>23</v>
      </c>
      <c r="F60" s="3" t="s">
        <v>42</v>
      </c>
      <c r="G60" s="3"/>
      <c r="H60" s="3"/>
      <c r="I60" s="3"/>
      <c r="J60" s="3"/>
      <c r="K60" s="3"/>
    </row>
    <row r="61" spans="1:11" ht="18" customHeight="1" x14ac:dyDescent="0.25">
      <c r="A61" s="3">
        <v>3</v>
      </c>
      <c r="B61" s="3" t="s">
        <v>44</v>
      </c>
      <c r="C61" s="3" t="s">
        <v>16</v>
      </c>
      <c r="D61" s="3" t="s">
        <v>28</v>
      </c>
      <c r="E61" s="3" t="s">
        <v>21</v>
      </c>
      <c r="F61" s="3" t="s">
        <v>42</v>
      </c>
      <c r="G61" s="3"/>
      <c r="H61" s="3"/>
      <c r="I61" s="3"/>
      <c r="J61" s="3"/>
      <c r="K61" s="3"/>
    </row>
    <row r="62" spans="1:11" ht="15.95" customHeight="1" x14ac:dyDescent="0.25">
      <c r="A62" s="3">
        <v>4</v>
      </c>
      <c r="B62" s="46" t="s">
        <v>59</v>
      </c>
      <c r="C62" s="3" t="s">
        <v>16</v>
      </c>
      <c r="D62" s="3" t="s">
        <v>28</v>
      </c>
      <c r="E62" s="3" t="s">
        <v>25</v>
      </c>
      <c r="F62" s="3" t="s">
        <v>42</v>
      </c>
      <c r="G62" s="3"/>
      <c r="H62" s="3"/>
      <c r="I62" s="3"/>
      <c r="J62" s="3"/>
      <c r="K62" s="3"/>
    </row>
    <row r="63" spans="1:11" ht="15.9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5.9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5.9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5.9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5.9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5.9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5.9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5.9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5.9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4" spans="1:11" ht="24" customHeight="1" x14ac:dyDescent="0.25">
      <c r="A74" s="25" t="s">
        <v>45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spans="1:11" ht="20.100000000000001" customHeight="1" x14ac:dyDescent="0.25">
      <c r="A75" s="32" t="s">
        <v>46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spans="1:11" ht="20.100000000000001" customHeight="1" x14ac:dyDescent="0.25">
      <c r="A76" s="5" t="s">
        <v>4</v>
      </c>
      <c r="B76" s="5" t="s">
        <v>5</v>
      </c>
      <c r="C76" s="5" t="s">
        <v>47</v>
      </c>
      <c r="D76" s="5" t="s">
        <v>48</v>
      </c>
      <c r="E76" s="5" t="s">
        <v>49</v>
      </c>
      <c r="F76" s="5" t="s">
        <v>50</v>
      </c>
      <c r="G76" s="5" t="s">
        <v>51</v>
      </c>
      <c r="H76" s="5" t="s">
        <v>10</v>
      </c>
      <c r="I76" s="5" t="s">
        <v>12</v>
      </c>
      <c r="J76" s="5" t="s">
        <v>13</v>
      </c>
      <c r="K76" s="5" t="s">
        <v>14</v>
      </c>
    </row>
    <row r="77" spans="1:11" ht="18" customHeight="1" x14ac:dyDescent="0.25">
      <c r="A77" s="6">
        <v>1</v>
      </c>
      <c r="B77" s="6" t="s">
        <v>32</v>
      </c>
      <c r="C77" s="6" t="s">
        <v>52</v>
      </c>
      <c r="D77" s="6"/>
      <c r="E77" s="6"/>
      <c r="F77" s="6"/>
      <c r="G77" s="6"/>
      <c r="H77" s="6"/>
      <c r="I77" s="6"/>
      <c r="J77" s="6"/>
      <c r="K77" s="6"/>
    </row>
    <row r="78" spans="1:11" ht="18" customHeight="1" x14ac:dyDescent="0.25">
      <c r="A78" s="6">
        <v>2</v>
      </c>
      <c r="B78" s="45" t="s">
        <v>43</v>
      </c>
      <c r="C78" s="6" t="s">
        <v>53</v>
      </c>
      <c r="D78" s="6"/>
      <c r="E78" s="6"/>
      <c r="F78" s="6"/>
      <c r="G78" s="6"/>
      <c r="H78" s="6"/>
      <c r="I78" s="6"/>
      <c r="J78" s="6"/>
      <c r="K78" s="6"/>
    </row>
    <row r="79" spans="1:11" ht="18" customHeight="1" x14ac:dyDescent="0.25">
      <c r="A79" s="6">
        <v>3</v>
      </c>
      <c r="B79" s="6" t="s">
        <v>56</v>
      </c>
      <c r="C79" s="6" t="s">
        <v>54</v>
      </c>
      <c r="D79" s="6"/>
      <c r="E79" s="6"/>
      <c r="F79" s="6"/>
      <c r="G79" s="6"/>
      <c r="H79" s="6"/>
      <c r="I79" s="6"/>
      <c r="J79" s="6"/>
      <c r="K79" s="6"/>
    </row>
    <row r="80" spans="1:11" ht="18" customHeight="1" x14ac:dyDescent="0.25">
      <c r="A80" s="6">
        <v>4</v>
      </c>
      <c r="B80" s="6" t="s">
        <v>20</v>
      </c>
      <c r="C80" s="6" t="s">
        <v>55</v>
      </c>
      <c r="D80" s="6"/>
      <c r="E80" s="6"/>
      <c r="F80" s="6"/>
      <c r="G80" s="6"/>
      <c r="H80" s="6"/>
      <c r="I80" s="6"/>
      <c r="J80" s="6"/>
      <c r="K80" s="6"/>
    </row>
    <row r="81" spans="1:11" ht="18" customHeight="1" x14ac:dyDescent="0.25">
      <c r="A81" s="6">
        <v>5</v>
      </c>
      <c r="B81" s="47" t="s">
        <v>41</v>
      </c>
      <c r="C81" s="6" t="s">
        <v>54</v>
      </c>
      <c r="D81" s="6"/>
      <c r="E81" s="6"/>
      <c r="F81" s="6"/>
      <c r="G81" s="6"/>
      <c r="H81" s="6"/>
      <c r="I81" s="6"/>
      <c r="J81" s="6"/>
      <c r="K81" s="6"/>
    </row>
    <row r="82" spans="1:11" ht="18" customHeight="1" x14ac:dyDescent="0.25">
      <c r="A82" s="6">
        <v>6</v>
      </c>
      <c r="B82" s="6" t="s">
        <v>61</v>
      </c>
      <c r="C82" s="6" t="s">
        <v>58</v>
      </c>
      <c r="D82" s="6"/>
      <c r="E82" s="6"/>
      <c r="F82" s="6"/>
      <c r="G82" s="6"/>
      <c r="H82" s="6"/>
      <c r="I82" s="6"/>
      <c r="J82" s="6"/>
      <c r="K82" s="6"/>
    </row>
    <row r="83" spans="1:11" ht="18" customHeight="1" x14ac:dyDescent="0.25">
      <c r="A83" s="6">
        <v>7</v>
      </c>
      <c r="B83" s="6" t="s">
        <v>144</v>
      </c>
      <c r="C83" s="6" t="s">
        <v>60</v>
      </c>
      <c r="D83" s="6"/>
      <c r="E83" s="6"/>
      <c r="F83" s="6"/>
      <c r="G83" s="6"/>
      <c r="H83" s="6"/>
      <c r="I83" s="6"/>
      <c r="J83" s="6"/>
      <c r="K83" s="6"/>
    </row>
    <row r="84" spans="1:11" ht="18" customHeight="1" x14ac:dyDescent="0.25">
      <c r="A84" s="6">
        <v>8</v>
      </c>
      <c r="B84" s="6" t="s">
        <v>41</v>
      </c>
      <c r="C84" s="6" t="s">
        <v>62</v>
      </c>
      <c r="D84" s="6"/>
      <c r="E84" s="6"/>
      <c r="F84" s="6"/>
      <c r="G84" s="6"/>
      <c r="H84" s="6"/>
      <c r="I84" s="6"/>
      <c r="J84" s="6"/>
      <c r="K84" s="6"/>
    </row>
    <row r="85" spans="1:11" ht="15.9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ht="15.9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ht="15.9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ht="15.9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15.9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15.9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ht="15.9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ht="15.9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ht="15.9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ht="15.9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</sheetData>
  <mergeCells count="10">
    <mergeCell ref="A2:K2"/>
    <mergeCell ref="A75:K75"/>
    <mergeCell ref="A1:K1"/>
    <mergeCell ref="A40:K40"/>
    <mergeCell ref="A74:K74"/>
    <mergeCell ref="A4:K4"/>
    <mergeCell ref="A3:K3"/>
    <mergeCell ref="A21:K21"/>
    <mergeCell ref="A39:K39"/>
    <mergeCell ref="A57:K57"/>
  </mergeCells>
  <phoneticPr fontId="17" type="noConversion"/>
  <conditionalFormatting sqref="G6:G19">
    <cfRule type="containsText" dxfId="34" priority="1" operator="containsText" text="Passed">
      <formula>NOT(ISERROR(SEARCH("Passed",G6)))</formula>
    </cfRule>
    <cfRule type="containsText" dxfId="33" priority="2" operator="containsText" text="Completed">
      <formula>NOT(ISERROR(SEARCH("Completed",G6)))</formula>
    </cfRule>
    <cfRule type="containsText" dxfId="32" priority="3" operator="containsText" text="In Progress">
      <formula>NOT(ISERROR(SEARCH("In Progress",G6)))</formula>
    </cfRule>
    <cfRule type="containsText" dxfId="31" priority="4" operator="containsText" text="Failed">
      <formula>NOT(ISERROR(SEARCH("Failed",G6)))</formula>
    </cfRule>
    <cfRule type="containsText" dxfId="30" priority="5" operator="containsText" text="Blocked">
      <formula>NOT(ISERROR(SEARCH("Blocked",G6)))</formula>
    </cfRule>
    <cfRule type="containsText" dxfId="29" priority="6" operator="containsText" text="Connectivity Failing">
      <formula>NOT(ISERROR(SEARCH("Connectivity Failing",G6)))</formula>
    </cfRule>
    <cfRule type="containsText" dxfId="28" priority="7" operator="containsText" text="Not Started">
      <formula>NOT(ISERROR(SEARCH("Not Started",G6)))</formula>
    </cfRule>
  </conditionalFormatting>
  <conditionalFormatting sqref="G23:G36">
    <cfRule type="containsText" dxfId="27" priority="8" operator="containsText" text="Passed">
      <formula>NOT(ISERROR(SEARCH("Passed",G23)))</formula>
    </cfRule>
    <cfRule type="containsText" dxfId="26" priority="9" operator="containsText" text="Completed">
      <formula>NOT(ISERROR(SEARCH("Completed",G23)))</formula>
    </cfRule>
    <cfRule type="containsText" dxfId="25" priority="10" operator="containsText" text="In Progress">
      <formula>NOT(ISERROR(SEARCH("In Progress",G23)))</formula>
    </cfRule>
    <cfRule type="containsText" dxfId="24" priority="11" operator="containsText" text="Failed">
      <formula>NOT(ISERROR(SEARCH("Failed",G23)))</formula>
    </cfRule>
    <cfRule type="containsText" dxfId="23" priority="12" operator="containsText" text="Blocked">
      <formula>NOT(ISERROR(SEARCH("Blocked",G23)))</formula>
    </cfRule>
    <cfRule type="containsText" dxfId="22" priority="13" operator="containsText" text="Connectivity Failing">
      <formula>NOT(ISERROR(SEARCH("Connectivity Failing",G23)))</formula>
    </cfRule>
    <cfRule type="containsText" dxfId="21" priority="14" operator="containsText" text="Not Started">
      <formula>NOT(ISERROR(SEARCH("Not Started",G23)))</formula>
    </cfRule>
  </conditionalFormatting>
  <conditionalFormatting sqref="G42:G55">
    <cfRule type="containsText" dxfId="20" priority="15" operator="containsText" text="Passed">
      <formula>NOT(ISERROR(SEARCH("Passed",G42)))</formula>
    </cfRule>
    <cfRule type="containsText" dxfId="19" priority="16" operator="containsText" text="Completed">
      <formula>NOT(ISERROR(SEARCH("Completed",G42)))</formula>
    </cfRule>
    <cfRule type="containsText" dxfId="18" priority="17" operator="containsText" text="In Progress">
      <formula>NOT(ISERROR(SEARCH("In Progress",G42)))</formula>
    </cfRule>
    <cfRule type="containsText" dxfId="17" priority="18" operator="containsText" text="Failed">
      <formula>NOT(ISERROR(SEARCH("Failed",G42)))</formula>
    </cfRule>
    <cfRule type="containsText" dxfId="16" priority="19" operator="containsText" text="Blocked">
      <formula>NOT(ISERROR(SEARCH("Blocked",G42)))</formula>
    </cfRule>
    <cfRule type="containsText" dxfId="15" priority="20" operator="containsText" text="Connectivity Failing">
      <formula>NOT(ISERROR(SEARCH("Connectivity Failing",G42)))</formula>
    </cfRule>
    <cfRule type="containsText" dxfId="14" priority="21" operator="containsText" text="Not Started">
      <formula>NOT(ISERROR(SEARCH("Not Started",G42)))</formula>
    </cfRule>
  </conditionalFormatting>
  <conditionalFormatting sqref="G59:G71">
    <cfRule type="containsText" dxfId="13" priority="22" operator="containsText" text="Passed">
      <formula>NOT(ISERROR(SEARCH("Passed",G59)))</formula>
    </cfRule>
    <cfRule type="containsText" dxfId="12" priority="23" operator="containsText" text="Completed">
      <formula>NOT(ISERROR(SEARCH("Completed",G59)))</formula>
    </cfRule>
    <cfRule type="containsText" dxfId="11" priority="24" operator="containsText" text="In Progress">
      <formula>NOT(ISERROR(SEARCH("In Progress",G59)))</formula>
    </cfRule>
    <cfRule type="containsText" dxfId="10" priority="25" operator="containsText" text="Failed">
      <formula>NOT(ISERROR(SEARCH("Failed",G59)))</formula>
    </cfRule>
    <cfRule type="containsText" dxfId="9" priority="26" operator="containsText" text="Blocked">
      <formula>NOT(ISERROR(SEARCH("Blocked",G59)))</formula>
    </cfRule>
    <cfRule type="containsText" dxfId="8" priority="27" operator="containsText" text="Connectivity Failing">
      <formula>NOT(ISERROR(SEARCH("Connectivity Failing",G59)))</formula>
    </cfRule>
    <cfRule type="containsText" dxfId="7" priority="28" operator="containsText" text="Not Started">
      <formula>NOT(ISERROR(SEARCH("Not Started",G59)))</formula>
    </cfRule>
  </conditionalFormatting>
  <conditionalFormatting sqref="H77:H94">
    <cfRule type="containsText" dxfId="6" priority="29" operator="containsText" text="Passed">
      <formula>NOT(ISERROR(SEARCH("Passed",H77)))</formula>
    </cfRule>
    <cfRule type="containsText" dxfId="5" priority="30" operator="containsText" text="Completed">
      <formula>NOT(ISERROR(SEARCH("Completed",H77)))</formula>
    </cfRule>
    <cfRule type="containsText" dxfId="4" priority="31" operator="containsText" text="In Progress">
      <formula>NOT(ISERROR(SEARCH("In Progress",H77)))</formula>
    </cfRule>
    <cfRule type="containsText" dxfId="3" priority="32" operator="containsText" text="Failed">
      <formula>NOT(ISERROR(SEARCH("Failed",H77)))</formula>
    </cfRule>
    <cfRule type="containsText" dxfId="2" priority="33" operator="containsText" text="Blocked">
      <formula>NOT(ISERROR(SEARCH("Blocked",H77)))</formula>
    </cfRule>
    <cfRule type="containsText" dxfId="1" priority="34" operator="containsText" text="Connectivity Failing">
      <formula>NOT(ISERROR(SEARCH("Connectivity Failing",H77)))</formula>
    </cfRule>
    <cfRule type="containsText" dxfId="0" priority="35" operator="containsText" text="Not Started">
      <formula>NOT(ISERROR(SEARCH("Not Started",H77)))</formula>
    </cfRule>
  </conditionalFormatting>
  <dataValidations count="3">
    <dataValidation type="list" showErrorMessage="1" errorTitle="Invalid Value" error="Please choose from the dropdown list." sqref="D6:D19 D23:D36 D42:D55 D59:D71" xr:uid="{00000000-0002-0000-0000-000000000000}">
      <formula1>"PT,UAT"</formula1>
    </dataValidation>
    <dataValidation type="list" showErrorMessage="1" errorTitle="Invalid Value" error="Please choose from the dropdown list." sqref="E6:E19 E59:E71 E42:E55 E23:E36" xr:uid="{00000000-0002-0000-0000-000001000000}">
      <formula1>"SI,AMS,BPMS,IMS"</formula1>
    </dataValidation>
    <dataValidation type="list" showErrorMessage="1" errorTitle="Invalid Status" error="Please choose a value from the list." sqref="G6:G19 H77:H94 G59:G71 G42:G55 G23:G36" xr:uid="{00000000-0002-0000-0000-000002000000}">
      <formula1>"Not Started,In Progress,Completed,Passed,Failed,Blocked,Connectivity Failing"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C55E"/>
  </sheetPr>
  <dimension ref="A1:H14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30" customWidth="1"/>
    <col min="2" max="3" width="10" customWidth="1"/>
    <col min="4" max="4" width="12" customWidth="1"/>
    <col min="5" max="5" width="13" customWidth="1"/>
    <col min="6" max="6" width="16" customWidth="1"/>
    <col min="7" max="7" width="13" customWidth="1"/>
    <col min="8" max="8" width="14" customWidth="1"/>
  </cols>
  <sheetData>
    <row r="1" spans="1:8" ht="32.1" customHeight="1" x14ac:dyDescent="0.25">
      <c r="A1" s="41" t="s">
        <v>63</v>
      </c>
      <c r="B1" s="26"/>
      <c r="C1" s="26"/>
      <c r="D1" s="26"/>
      <c r="E1" s="26"/>
      <c r="F1" s="26"/>
      <c r="G1" s="26"/>
      <c r="H1" s="26"/>
    </row>
    <row r="2" spans="1:8" ht="18" customHeight="1" x14ac:dyDescent="0.25">
      <c r="A2" s="31" t="s">
        <v>64</v>
      </c>
      <c r="B2" s="26"/>
      <c r="C2" s="26"/>
      <c r="D2" s="26"/>
      <c r="E2" s="26"/>
      <c r="F2" s="26"/>
      <c r="G2" s="26"/>
      <c r="H2" s="26"/>
    </row>
    <row r="4" spans="1:8" ht="21.95" customHeight="1" x14ac:dyDescent="0.25">
      <c r="A4" s="7" t="s">
        <v>65</v>
      </c>
      <c r="B4" s="7" t="s">
        <v>66</v>
      </c>
      <c r="C4" s="7" t="s">
        <v>67</v>
      </c>
      <c r="D4" s="7" t="s">
        <v>68</v>
      </c>
      <c r="E4" s="7" t="s">
        <v>69</v>
      </c>
      <c r="F4" s="7" t="s">
        <v>70</v>
      </c>
      <c r="G4" s="7" t="s">
        <v>71</v>
      </c>
      <c r="H4" s="7" t="s">
        <v>72</v>
      </c>
    </row>
    <row r="5" spans="1:8" ht="20.100000000000001" customHeight="1" x14ac:dyDescent="0.25">
      <c r="A5" s="8" t="s">
        <v>73</v>
      </c>
      <c r="B5" s="9">
        <f>COUNTIFS(E2E_Tracker!D6:D19,"PT")</f>
        <v>4</v>
      </c>
      <c r="C5" s="10">
        <f>COUNTIFS(E2E_Tracker!D6:D19,"PT",E2E_Tracker!G6:G19,"Passed")</f>
        <v>0</v>
      </c>
      <c r="D5" s="11">
        <f>COUNTIFS(E2E_Tracker!D6:D19,"PT",E2E_Tracker!G6:G19,"Completed")</f>
        <v>0</v>
      </c>
      <c r="E5" s="12">
        <f>COUNTIFS(E2E_Tracker!D6:D19,"PT",E2E_Tracker!G6:G19,"In Progress")</f>
        <v>0</v>
      </c>
      <c r="F5" s="13">
        <f>COUNTIFS(E2E_Tracker!D6:D19,"PT",E2E_Tracker!G6:G19,"Failed")+COUNTIFS(E2E_Tracker!D6:D19,"PT",E2E_Tracker!G6:G19,"Blocked")+COUNTIFS(E2E_Tracker!D6:D19,"PT",E2E_Tracker!G6:G19,"Connectivity Failing")</f>
        <v>0</v>
      </c>
      <c r="G5" s="14">
        <f>COUNTIFS(E2E_Tracker!D6:D19,"PT",E2E_Tracker!G6:G19,"")+COUNTIFS(E2E_Tracker!D6:D19,"PT",E2E_Tracker!G6:G19,"Not Started")</f>
        <v>4</v>
      </c>
      <c r="H5" s="15">
        <f>IF(B5=0,0,ROUND((C5+D5)/B5*100,1))</f>
        <v>0</v>
      </c>
    </row>
    <row r="6" spans="1:8" ht="20.100000000000001" customHeight="1" x14ac:dyDescent="0.25">
      <c r="A6" s="16" t="s">
        <v>74</v>
      </c>
      <c r="B6" s="17">
        <f>COUNTIFS(E2E_Tracker!D23:D36,"UAT")</f>
        <v>4</v>
      </c>
      <c r="C6" s="10">
        <f>COUNTIFS(E2E_Tracker!D23:D36,"UAT",E2E_Tracker!G23:G36,"Passed")</f>
        <v>0</v>
      </c>
      <c r="D6" s="11">
        <f>COUNTIFS(E2E_Tracker!D23:D36,"UAT",E2E_Tracker!G23:G36,"Completed")</f>
        <v>0</v>
      </c>
      <c r="E6" s="12">
        <f>COUNTIFS(E2E_Tracker!D23:D36,"UAT",E2E_Tracker!G23:G36,"In Progress")</f>
        <v>0</v>
      </c>
      <c r="F6" s="13">
        <f>COUNTIFS(E2E_Tracker!D23:D36,"UAT",E2E_Tracker!G23:G36,"Failed")+COUNTIFS(E2E_Tracker!D23:D36,"UAT",E2E_Tracker!G23:G36,"Blocked")+COUNTIFS(E2E_Tracker!D23:D36,"UAT",E2E_Tracker!G23:G36,"Connectivity Failing")</f>
        <v>0</v>
      </c>
      <c r="G6" s="14">
        <f>COUNTIFS(E2E_Tracker!D23:D36,"UAT",E2E_Tracker!G23:G36,"")+COUNTIFS(E2E_Tracker!D23:D36,"UAT",E2E_Tracker!G23:G36,"Not Started")</f>
        <v>4</v>
      </c>
      <c r="H6" s="15">
        <f>IF(B6=0,0,ROUND((C6+D6)/B6*100,1))</f>
        <v>0</v>
      </c>
    </row>
    <row r="7" spans="1:8" ht="20.100000000000001" customHeight="1" x14ac:dyDescent="0.25">
      <c r="A7" s="8" t="s">
        <v>75</v>
      </c>
      <c r="B7" s="9">
        <f>COUNTIFS(E2E_Tracker!D42:D55,"PT")</f>
        <v>4</v>
      </c>
      <c r="C7" s="10">
        <f>COUNTIFS(E2E_Tracker!D42:D55,"PT",E2E_Tracker!G42:G55,"Passed")</f>
        <v>0</v>
      </c>
      <c r="D7" s="11">
        <f>COUNTIFS(E2E_Tracker!D42:D55,"PT",E2E_Tracker!G42:G55,"Completed")</f>
        <v>0</v>
      </c>
      <c r="E7" s="12">
        <f>COUNTIFS(E2E_Tracker!D42:D55,"PT",E2E_Tracker!G42:G55,"In Progress")</f>
        <v>0</v>
      </c>
      <c r="F7" s="13">
        <f>COUNTIFS(E2E_Tracker!D42:D55,"PT",E2E_Tracker!G42:G55,"Failed")+COUNTIFS(E2E_Tracker!D42:D55,"PT",E2E_Tracker!G42:G55,"Blocked")+COUNTIFS(E2E_Tracker!D42:D55,"PT",E2E_Tracker!G42:G55,"Connectivity Failing")</f>
        <v>0</v>
      </c>
      <c r="G7" s="14">
        <f>COUNTIFS(E2E_Tracker!D42:D55,"PT",E2E_Tracker!G42:G55,"")+COUNTIFS(E2E_Tracker!D42:D55,"PT",E2E_Tracker!G42:G55,"Not Started")</f>
        <v>4</v>
      </c>
      <c r="H7" s="15">
        <f>IF(B7=0,0,ROUND((C7+D7)/B7*100,1))</f>
        <v>0</v>
      </c>
    </row>
    <row r="8" spans="1:8" ht="20.100000000000001" customHeight="1" x14ac:dyDescent="0.25">
      <c r="A8" s="16" t="s">
        <v>76</v>
      </c>
      <c r="B8" s="17">
        <f>COUNTIFS(E2E_Tracker!D59:D71,"UAT")</f>
        <v>4</v>
      </c>
      <c r="C8" s="10">
        <f>COUNTIFS(E2E_Tracker!D59:D71,"UAT",E2E_Tracker!G59:G71,"Passed")</f>
        <v>0</v>
      </c>
      <c r="D8" s="11">
        <f>COUNTIFS(E2E_Tracker!D59:D71,"UAT",E2E_Tracker!G59:G71,"Completed")</f>
        <v>0</v>
      </c>
      <c r="E8" s="12">
        <f>COUNTIFS(E2E_Tracker!D59:D71,"UAT",E2E_Tracker!G59:G71,"In Progress")</f>
        <v>0</v>
      </c>
      <c r="F8" s="13">
        <f>COUNTIFS(E2E_Tracker!D59:D71,"UAT",E2E_Tracker!G59:G71,"Failed")+COUNTIFS(E2E_Tracker!D59:D71,"UAT",E2E_Tracker!G59:G71,"Blocked")+COUNTIFS(E2E_Tracker!D59:D71,"UAT",E2E_Tracker!G59:G71,"Connectivity Failing")</f>
        <v>0</v>
      </c>
      <c r="G8" s="14">
        <f>COUNTIFS(E2E_Tracker!D59:D71,"UAT",E2E_Tracker!G59:G71,"")+COUNTIFS(E2E_Tracker!D59:D71,"UAT",E2E_Tracker!G59:G71,"Not Started")</f>
        <v>4</v>
      </c>
      <c r="H8" s="15">
        <f>IF(B8=0,0,ROUND((C8+D8)/B8*100,1))</f>
        <v>0</v>
      </c>
    </row>
    <row r="9" spans="1:8" ht="20.100000000000001" customHeight="1" x14ac:dyDescent="0.25">
      <c r="A9" s="8" t="s">
        <v>77</v>
      </c>
      <c r="B9" s="9">
        <f>COUNTA(E2E_Tracker!H77:H94)</f>
        <v>0</v>
      </c>
      <c r="C9" s="10">
        <f>COUNTIF(E2E_Tracker!H77:H94,"Passed")</f>
        <v>0</v>
      </c>
      <c r="D9" s="11">
        <f>COUNTIF(E2E_Tracker!H77:H94,"Completed")</f>
        <v>0</v>
      </c>
      <c r="E9" s="12">
        <f>COUNTIF(E2E_Tracker!H77:H94,"In Progress")</f>
        <v>0</v>
      </c>
      <c r="F9" s="13">
        <f>COUNTIF(E2E_Tracker!H77:H94,"Failed")+COUNTIF(E2E_Tracker!H77:H94,"Blocked")+COUNTIF(E2E_Tracker!H77:H94,"Connectivity Failing")</f>
        <v>0</v>
      </c>
      <c r="G9" s="14">
        <f>COUNTIF(E2E_Tracker!H77:H94,"")+COUNTIF(E2E_Tracker!H77:H94,"Not Started")</f>
        <v>18</v>
      </c>
      <c r="H9" s="15">
        <f>IF(B9=0,0,ROUND((C9+D9)/B9*100,1))</f>
        <v>0</v>
      </c>
    </row>
    <row r="12" spans="1:8" ht="21.95" customHeight="1" x14ac:dyDescent="0.25">
      <c r="A12" s="34" t="s">
        <v>78</v>
      </c>
      <c r="B12" s="26"/>
      <c r="C12" s="26"/>
      <c r="D12" s="26"/>
      <c r="E12" s="26"/>
      <c r="F12" s="26"/>
      <c r="G12" s="26"/>
      <c r="H12" s="26"/>
    </row>
    <row r="13" spans="1:8" ht="20.100000000000001" customHeight="1" x14ac:dyDescent="0.25">
      <c r="A13" s="35" t="s">
        <v>67</v>
      </c>
      <c r="B13" s="36"/>
      <c r="C13" s="39" t="s">
        <v>68</v>
      </c>
      <c r="D13" s="36"/>
      <c r="E13" s="38" t="s">
        <v>69</v>
      </c>
      <c r="F13" s="36"/>
      <c r="G13" s="43" t="s">
        <v>79</v>
      </c>
      <c r="H13" s="36"/>
    </row>
    <row r="14" spans="1:8" ht="20.100000000000001" customHeight="1" x14ac:dyDescent="0.25">
      <c r="A14" s="37" t="s">
        <v>80</v>
      </c>
      <c r="B14" s="36"/>
      <c r="C14" s="40" t="s">
        <v>81</v>
      </c>
      <c r="D14" s="36"/>
      <c r="E14" s="42" t="s">
        <v>71</v>
      </c>
      <c r="F14" s="36"/>
    </row>
  </sheetData>
  <mergeCells count="10">
    <mergeCell ref="A1:H1"/>
    <mergeCell ref="E14:F14"/>
    <mergeCell ref="G13:H13"/>
    <mergeCell ref="A12:H12"/>
    <mergeCell ref="A2:H2"/>
    <mergeCell ref="A13:B13"/>
    <mergeCell ref="A14:B14"/>
    <mergeCell ref="E13:F13"/>
    <mergeCell ref="C13:D13"/>
    <mergeCell ref="C14:D14"/>
  </mergeCells>
  <conditionalFormatting sqref="H5:H9">
    <cfRule type="dataBar" priority="1">
      <dataBar>
        <cfvo type="num" val="0"/>
        <cfvo type="num" val="100"/>
        <color rgb="FF22C55E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7860B"/>
  </sheetPr>
  <dimension ref="A1:E33"/>
  <sheetViews>
    <sheetView showGridLines="0" workbookViewId="0">
      <pane ySplit="3" topLeftCell="A4" activePane="bottomLeft" state="frozen"/>
      <selection pane="bottomLeft" activeCell="D10" sqref="D10"/>
    </sheetView>
  </sheetViews>
  <sheetFormatPr defaultRowHeight="15" x14ac:dyDescent="0.25"/>
  <cols>
    <col min="1" max="1" width="5" customWidth="1"/>
    <col min="2" max="2" width="20" customWidth="1"/>
    <col min="3" max="3" width="30" customWidth="1"/>
    <col min="4" max="4" width="40" customWidth="1"/>
    <col min="5" max="5" width="8" customWidth="1"/>
  </cols>
  <sheetData>
    <row r="1" spans="1:5" ht="27.95" customHeight="1" x14ac:dyDescent="0.25">
      <c r="A1" s="33" t="s">
        <v>82</v>
      </c>
      <c r="B1" s="26"/>
      <c r="C1" s="26"/>
      <c r="D1" s="26"/>
      <c r="E1" s="26"/>
    </row>
    <row r="2" spans="1:5" ht="15.95" customHeight="1" x14ac:dyDescent="0.25">
      <c r="A2" s="31" t="s">
        <v>83</v>
      </c>
      <c r="B2" s="26"/>
      <c r="C2" s="26"/>
      <c r="D2" s="26"/>
      <c r="E2" s="26"/>
    </row>
    <row r="3" spans="1:5" ht="21.95" customHeight="1" x14ac:dyDescent="0.25">
      <c r="A3" s="27" t="s">
        <v>84</v>
      </c>
      <c r="B3" s="26"/>
      <c r="C3" s="26"/>
      <c r="D3" s="26"/>
      <c r="E3" s="26"/>
    </row>
    <row r="4" spans="1:5" ht="20.100000000000001" customHeight="1" x14ac:dyDescent="0.25">
      <c r="A4" s="18" t="s">
        <v>4</v>
      </c>
      <c r="B4" s="18" t="s">
        <v>85</v>
      </c>
      <c r="C4" s="18" t="s">
        <v>86</v>
      </c>
      <c r="D4" s="18" t="s">
        <v>87</v>
      </c>
      <c r="E4" s="18" t="s">
        <v>7</v>
      </c>
    </row>
    <row r="5" spans="1:5" ht="18" customHeight="1" x14ac:dyDescent="0.25">
      <c r="A5" s="19">
        <v>1</v>
      </c>
      <c r="B5" s="19" t="s">
        <v>15</v>
      </c>
      <c r="C5" s="19" t="s">
        <v>88</v>
      </c>
      <c r="D5" s="19" t="s">
        <v>89</v>
      </c>
      <c r="E5" s="19" t="s">
        <v>17</v>
      </c>
    </row>
    <row r="6" spans="1:5" ht="18" customHeight="1" x14ac:dyDescent="0.25">
      <c r="A6" s="19">
        <v>2</v>
      </c>
      <c r="B6" s="19" t="s">
        <v>20</v>
      </c>
      <c r="C6" s="19" t="s">
        <v>88</v>
      </c>
      <c r="D6" s="19" t="s">
        <v>90</v>
      </c>
      <c r="E6" s="19" t="s">
        <v>17</v>
      </c>
    </row>
    <row r="7" spans="1:5" ht="18" customHeight="1" x14ac:dyDescent="0.25">
      <c r="A7" s="19">
        <v>3</v>
      </c>
      <c r="B7" s="19" t="s">
        <v>22</v>
      </c>
      <c r="C7" s="19" t="s">
        <v>88</v>
      </c>
      <c r="D7" s="19" t="s">
        <v>91</v>
      </c>
      <c r="E7" s="19" t="s">
        <v>17</v>
      </c>
    </row>
    <row r="8" spans="1:5" ht="18" customHeight="1" x14ac:dyDescent="0.25">
      <c r="A8" s="19">
        <v>4</v>
      </c>
      <c r="B8" s="19" t="s">
        <v>24</v>
      </c>
      <c r="C8" s="19" t="s">
        <v>88</v>
      </c>
      <c r="D8" s="19" t="s">
        <v>92</v>
      </c>
      <c r="E8" s="19" t="s">
        <v>17</v>
      </c>
    </row>
    <row r="9" spans="1:5" ht="18" customHeight="1" x14ac:dyDescent="0.25">
      <c r="A9" s="20">
        <v>5</v>
      </c>
      <c r="B9" s="20" t="s">
        <v>35</v>
      </c>
      <c r="C9" s="20" t="s">
        <v>93</v>
      </c>
      <c r="D9" s="20" t="s">
        <v>89</v>
      </c>
      <c r="E9" s="20" t="s">
        <v>17</v>
      </c>
    </row>
    <row r="10" spans="1:5" ht="18" customHeight="1" x14ac:dyDescent="0.25">
      <c r="A10" s="20">
        <v>6</v>
      </c>
      <c r="B10" s="20" t="s">
        <v>37</v>
      </c>
      <c r="C10" s="20" t="s">
        <v>93</v>
      </c>
      <c r="D10" s="20" t="s">
        <v>90</v>
      </c>
      <c r="E10" s="20" t="s">
        <v>17</v>
      </c>
    </row>
    <row r="11" spans="1:5" ht="18" customHeight="1" x14ac:dyDescent="0.25">
      <c r="A11" s="20">
        <v>7</v>
      </c>
      <c r="B11" s="20" t="s">
        <v>38</v>
      </c>
      <c r="C11" s="20" t="s">
        <v>94</v>
      </c>
      <c r="D11" s="20" t="s">
        <v>95</v>
      </c>
      <c r="E11" s="20" t="s">
        <v>17</v>
      </c>
    </row>
    <row r="12" spans="1:5" ht="18" customHeight="1" x14ac:dyDescent="0.25">
      <c r="A12" s="20">
        <v>8</v>
      </c>
      <c r="B12" s="20" t="s">
        <v>39</v>
      </c>
      <c r="C12" s="20" t="s">
        <v>94</v>
      </c>
      <c r="D12" s="20" t="s">
        <v>96</v>
      </c>
      <c r="E12" s="20" t="s">
        <v>17</v>
      </c>
    </row>
    <row r="13" spans="1:5" ht="18" customHeight="1" x14ac:dyDescent="0.25">
      <c r="A13" s="3">
        <v>9</v>
      </c>
      <c r="B13" s="3" t="s">
        <v>97</v>
      </c>
      <c r="C13" s="3" t="s">
        <v>98</v>
      </c>
      <c r="D13" s="3" t="s">
        <v>89</v>
      </c>
      <c r="E13" s="3" t="s">
        <v>17</v>
      </c>
    </row>
    <row r="14" spans="1:5" ht="18" customHeight="1" x14ac:dyDescent="0.25">
      <c r="A14" s="3">
        <v>10</v>
      </c>
      <c r="B14" s="3" t="s">
        <v>99</v>
      </c>
      <c r="C14" s="3" t="s">
        <v>98</v>
      </c>
      <c r="D14" s="3" t="s">
        <v>92</v>
      </c>
      <c r="E14" s="3" t="s">
        <v>17</v>
      </c>
    </row>
    <row r="16" spans="1:5" ht="21.95" customHeight="1" x14ac:dyDescent="0.25">
      <c r="A16" s="29" t="s">
        <v>100</v>
      </c>
      <c r="B16" s="26"/>
      <c r="C16" s="26"/>
      <c r="D16" s="26"/>
      <c r="E16" s="26"/>
    </row>
    <row r="17" spans="1:5" ht="20.100000000000001" customHeight="1" x14ac:dyDescent="0.25">
      <c r="A17" s="18" t="s">
        <v>4</v>
      </c>
      <c r="B17" s="18" t="s">
        <v>85</v>
      </c>
      <c r="C17" s="18" t="s">
        <v>86</v>
      </c>
      <c r="D17" s="18" t="s">
        <v>87</v>
      </c>
      <c r="E17" s="18" t="s">
        <v>7</v>
      </c>
    </row>
    <row r="18" spans="1:5" ht="18" customHeight="1" x14ac:dyDescent="0.25">
      <c r="A18" s="19">
        <v>11</v>
      </c>
      <c r="B18" s="19" t="s">
        <v>27</v>
      </c>
      <c r="C18" s="19" t="s">
        <v>88</v>
      </c>
      <c r="D18" s="19" t="s">
        <v>101</v>
      </c>
      <c r="E18" s="19" t="s">
        <v>28</v>
      </c>
    </row>
    <row r="19" spans="1:5" ht="18" customHeight="1" x14ac:dyDescent="0.25">
      <c r="A19" s="19">
        <v>12</v>
      </c>
      <c r="B19" s="19" t="s">
        <v>30</v>
      </c>
      <c r="C19" s="19" t="s">
        <v>88</v>
      </c>
      <c r="D19" s="19" t="s">
        <v>102</v>
      </c>
      <c r="E19" s="19" t="s">
        <v>28</v>
      </c>
    </row>
    <row r="20" spans="1:5" ht="18" customHeight="1" x14ac:dyDescent="0.25">
      <c r="A20" s="19">
        <v>13</v>
      </c>
      <c r="B20" s="19" t="s">
        <v>31</v>
      </c>
      <c r="C20" s="19" t="s">
        <v>88</v>
      </c>
      <c r="D20" s="19" t="s">
        <v>103</v>
      </c>
      <c r="E20" s="19" t="s">
        <v>28</v>
      </c>
    </row>
    <row r="21" spans="1:5" ht="18" customHeight="1" x14ac:dyDescent="0.25">
      <c r="A21" s="19">
        <v>14</v>
      </c>
      <c r="B21" s="19" t="s">
        <v>32</v>
      </c>
      <c r="C21" s="19" t="s">
        <v>104</v>
      </c>
      <c r="D21" s="19" t="s">
        <v>105</v>
      </c>
      <c r="E21" s="19" t="s">
        <v>28</v>
      </c>
    </row>
    <row r="22" spans="1:5" ht="18" customHeight="1" x14ac:dyDescent="0.25">
      <c r="A22" s="20">
        <v>15</v>
      </c>
      <c r="B22" s="20" t="s">
        <v>41</v>
      </c>
      <c r="C22" s="20" t="s">
        <v>94</v>
      </c>
      <c r="D22" s="20" t="s">
        <v>106</v>
      </c>
      <c r="E22" s="20" t="s">
        <v>28</v>
      </c>
    </row>
    <row r="23" spans="1:5" ht="18" customHeight="1" x14ac:dyDescent="0.25">
      <c r="A23" s="20">
        <v>16</v>
      </c>
      <c r="B23" s="20" t="s">
        <v>43</v>
      </c>
      <c r="C23" s="20" t="s">
        <v>93</v>
      </c>
      <c r="D23" s="20" t="s">
        <v>102</v>
      </c>
      <c r="E23" s="20" t="s">
        <v>28</v>
      </c>
    </row>
    <row r="24" spans="1:5" ht="18" customHeight="1" x14ac:dyDescent="0.25">
      <c r="A24" s="20">
        <v>17</v>
      </c>
      <c r="B24" s="20" t="s">
        <v>44</v>
      </c>
      <c r="C24" s="20" t="s">
        <v>93</v>
      </c>
      <c r="D24" s="20" t="s">
        <v>103</v>
      </c>
      <c r="E24" s="20" t="s">
        <v>28</v>
      </c>
    </row>
    <row r="25" spans="1:5" ht="18" customHeight="1" x14ac:dyDescent="0.25">
      <c r="A25" s="3">
        <v>18</v>
      </c>
      <c r="B25" s="3" t="s">
        <v>107</v>
      </c>
      <c r="C25" s="3" t="s">
        <v>98</v>
      </c>
      <c r="D25" s="3" t="s">
        <v>101</v>
      </c>
      <c r="E25" s="3" t="s">
        <v>28</v>
      </c>
    </row>
    <row r="26" spans="1:5" ht="18" customHeight="1" x14ac:dyDescent="0.25">
      <c r="A26" s="3">
        <v>19</v>
      </c>
      <c r="B26" s="3" t="s">
        <v>108</v>
      </c>
      <c r="C26" s="3" t="s">
        <v>98</v>
      </c>
      <c r="D26" s="3" t="s">
        <v>109</v>
      </c>
      <c r="E26" s="3" t="s">
        <v>28</v>
      </c>
    </row>
    <row r="28" spans="1:5" ht="21.95" customHeight="1" x14ac:dyDescent="0.25">
      <c r="A28" s="44" t="s">
        <v>110</v>
      </c>
      <c r="B28" s="26"/>
      <c r="C28" s="26"/>
      <c r="D28" s="26"/>
      <c r="E28" s="26"/>
    </row>
    <row r="29" spans="1:5" ht="20.100000000000001" customHeight="1" x14ac:dyDescent="0.25">
      <c r="A29" s="18" t="s">
        <v>4</v>
      </c>
      <c r="B29" s="18" t="s">
        <v>85</v>
      </c>
      <c r="C29" s="18" t="s">
        <v>86</v>
      </c>
      <c r="D29" s="18" t="s">
        <v>87</v>
      </c>
      <c r="E29" s="18" t="s">
        <v>7</v>
      </c>
    </row>
    <row r="30" spans="1:5" ht="18" customHeight="1" x14ac:dyDescent="0.25">
      <c r="A30" s="21">
        <v>20</v>
      </c>
      <c r="B30" s="21" t="s">
        <v>56</v>
      </c>
      <c r="C30" s="21" t="s">
        <v>111</v>
      </c>
      <c r="D30" s="21" t="s">
        <v>112</v>
      </c>
      <c r="E30" s="21"/>
    </row>
    <row r="31" spans="1:5" ht="18" customHeight="1" x14ac:dyDescent="0.25">
      <c r="A31" s="21">
        <v>21</v>
      </c>
      <c r="B31" s="21" t="s">
        <v>57</v>
      </c>
      <c r="C31" s="21" t="s">
        <v>111</v>
      </c>
      <c r="D31" s="21" t="s">
        <v>113</v>
      </c>
      <c r="E31" s="21"/>
    </row>
    <row r="32" spans="1:5" ht="18" customHeight="1" x14ac:dyDescent="0.25">
      <c r="A32" s="21">
        <v>22</v>
      </c>
      <c r="B32" s="21" t="s">
        <v>59</v>
      </c>
      <c r="C32" s="21" t="s">
        <v>111</v>
      </c>
      <c r="D32" s="21" t="s">
        <v>114</v>
      </c>
      <c r="E32" s="21"/>
    </row>
    <row r="33" spans="1:5" ht="18" customHeight="1" x14ac:dyDescent="0.25">
      <c r="A33" s="21">
        <v>23</v>
      </c>
      <c r="B33" s="21" t="s">
        <v>61</v>
      </c>
      <c r="C33" s="21" t="s">
        <v>111</v>
      </c>
      <c r="D33" s="21" t="s">
        <v>62</v>
      </c>
      <c r="E33" s="21"/>
    </row>
  </sheetData>
  <mergeCells count="5">
    <mergeCell ref="A2:E2"/>
    <mergeCell ref="A16:E16"/>
    <mergeCell ref="A28:E28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A35"/>
  <sheetViews>
    <sheetView showGridLines="0" workbookViewId="0"/>
  </sheetViews>
  <sheetFormatPr defaultRowHeight="15" x14ac:dyDescent="0.25"/>
  <cols>
    <col min="1" max="1" width="80" customWidth="1"/>
  </cols>
  <sheetData>
    <row r="1" spans="1:1" ht="21.95" customHeight="1" x14ac:dyDescent="0.25">
      <c r="A1" s="22" t="s">
        <v>115</v>
      </c>
    </row>
    <row r="2" spans="1:1" ht="18" customHeight="1" x14ac:dyDescent="0.25">
      <c r="A2" s="23"/>
    </row>
    <row r="3" spans="1:1" ht="18" customHeight="1" x14ac:dyDescent="0.25">
      <c r="A3" s="24" t="s">
        <v>116</v>
      </c>
    </row>
    <row r="4" spans="1:1" ht="18" customHeight="1" x14ac:dyDescent="0.25">
      <c r="A4" s="23" t="s">
        <v>117</v>
      </c>
    </row>
    <row r="5" spans="1:1" ht="18" customHeight="1" x14ac:dyDescent="0.25">
      <c r="A5" s="23" t="s">
        <v>118</v>
      </c>
    </row>
    <row r="6" spans="1:1" ht="18" customHeight="1" x14ac:dyDescent="0.25">
      <c r="A6" s="23" t="s">
        <v>119</v>
      </c>
    </row>
    <row r="7" spans="1:1" ht="18" customHeight="1" x14ac:dyDescent="0.25">
      <c r="A7" s="23"/>
    </row>
    <row r="8" spans="1:1" ht="18" customHeight="1" x14ac:dyDescent="0.25">
      <c r="A8" s="24" t="s">
        <v>120</v>
      </c>
    </row>
    <row r="9" spans="1:1" ht="18" customHeight="1" x14ac:dyDescent="0.25">
      <c r="A9" s="23" t="s">
        <v>121</v>
      </c>
    </row>
    <row r="10" spans="1:1" ht="18" customHeight="1" x14ac:dyDescent="0.25">
      <c r="A10" s="23" t="s">
        <v>122</v>
      </c>
    </row>
    <row r="11" spans="1:1" ht="18" customHeight="1" x14ac:dyDescent="0.25">
      <c r="A11" s="23" t="s">
        <v>123</v>
      </c>
    </row>
    <row r="12" spans="1:1" ht="18" customHeight="1" x14ac:dyDescent="0.25">
      <c r="A12" s="23" t="s">
        <v>124</v>
      </c>
    </row>
    <row r="13" spans="1:1" ht="18" customHeight="1" x14ac:dyDescent="0.25">
      <c r="A13" s="23"/>
    </row>
    <row r="14" spans="1:1" ht="18" customHeight="1" x14ac:dyDescent="0.25">
      <c r="A14" s="24" t="s">
        <v>125</v>
      </c>
    </row>
    <row r="15" spans="1:1" ht="18" customHeight="1" x14ac:dyDescent="0.25">
      <c r="A15" s="23" t="s">
        <v>126</v>
      </c>
    </row>
    <row r="16" spans="1:1" ht="18" customHeight="1" x14ac:dyDescent="0.25">
      <c r="A16" s="23" t="s">
        <v>127</v>
      </c>
    </row>
    <row r="17" spans="1:1" ht="18" customHeight="1" x14ac:dyDescent="0.25">
      <c r="A17" s="23" t="s">
        <v>128</v>
      </c>
    </row>
    <row r="18" spans="1:1" ht="18" customHeight="1" x14ac:dyDescent="0.25">
      <c r="A18" s="23" t="s">
        <v>129</v>
      </c>
    </row>
    <row r="19" spans="1:1" ht="18" customHeight="1" x14ac:dyDescent="0.25">
      <c r="A19" s="23" t="s">
        <v>130</v>
      </c>
    </row>
    <row r="20" spans="1:1" ht="18" customHeight="1" x14ac:dyDescent="0.25">
      <c r="A20" s="23" t="s">
        <v>131</v>
      </c>
    </row>
    <row r="21" spans="1:1" ht="18" customHeight="1" x14ac:dyDescent="0.25">
      <c r="A21" s="23"/>
    </row>
    <row r="22" spans="1:1" ht="18" customHeight="1" x14ac:dyDescent="0.25">
      <c r="A22" s="24" t="s">
        <v>132</v>
      </c>
    </row>
    <row r="23" spans="1:1" ht="18" customHeight="1" x14ac:dyDescent="0.25">
      <c r="A23" s="23" t="s">
        <v>133</v>
      </c>
    </row>
    <row r="24" spans="1:1" ht="18" customHeight="1" x14ac:dyDescent="0.25">
      <c r="A24" s="23" t="s">
        <v>134</v>
      </c>
    </row>
    <row r="25" spans="1:1" ht="18" customHeight="1" x14ac:dyDescent="0.25">
      <c r="A25" s="23" t="s">
        <v>135</v>
      </c>
    </row>
    <row r="26" spans="1:1" ht="18" customHeight="1" x14ac:dyDescent="0.25">
      <c r="A26" s="23"/>
    </row>
    <row r="27" spans="1:1" ht="18" customHeight="1" x14ac:dyDescent="0.25">
      <c r="A27" s="24" t="s">
        <v>136</v>
      </c>
    </row>
    <row r="28" spans="1:1" ht="18" customHeight="1" x14ac:dyDescent="0.25">
      <c r="A28" s="23" t="s">
        <v>137</v>
      </c>
    </row>
    <row r="29" spans="1:1" ht="18" customHeight="1" x14ac:dyDescent="0.25">
      <c r="A29" s="23" t="s">
        <v>138</v>
      </c>
    </row>
    <row r="30" spans="1:1" ht="18" customHeight="1" x14ac:dyDescent="0.25">
      <c r="A30" s="23" t="s">
        <v>139</v>
      </c>
    </row>
    <row r="31" spans="1:1" ht="18" customHeight="1" x14ac:dyDescent="0.25">
      <c r="A31" s="23"/>
    </row>
    <row r="32" spans="1:1" ht="18" customHeight="1" x14ac:dyDescent="0.25">
      <c r="A32" s="24" t="s">
        <v>140</v>
      </c>
    </row>
    <row r="33" spans="1:1" ht="18" customHeight="1" x14ac:dyDescent="0.25">
      <c r="A33" s="23" t="s">
        <v>141</v>
      </c>
    </row>
    <row r="34" spans="1:1" ht="18" customHeight="1" x14ac:dyDescent="0.25">
      <c r="A34" s="23" t="s">
        <v>142</v>
      </c>
    </row>
    <row r="35" spans="1:1" ht="18" customHeight="1" x14ac:dyDescent="0.25">
      <c r="A35" s="23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E2E_Tracker</vt:lpstr>
      <vt:lpstr>Summary_Dashboard</vt:lpstr>
      <vt:lpstr>Team_Data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Sathishmohan, Ritwik</cp:lastModifiedBy>
  <dcterms:created xsi:type="dcterms:W3CDTF">2026-04-02T11:21:40Z</dcterms:created>
  <dcterms:modified xsi:type="dcterms:W3CDTF">2026-04-02T12:07:35Z</dcterms:modified>
</cp:coreProperties>
</file>